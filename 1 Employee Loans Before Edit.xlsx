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Employee Loan Data Cleaning\"/>
    </mc:Choice>
  </mc:AlternateContent>
  <xr:revisionPtr revIDLastSave="0" documentId="13_ncr:1_{0FF5D5B9-36F0-48DC-97E3-45CB4A7A2E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TE" sheetId="4" r:id="rId1"/>
  </sheets>
  <definedNames>
    <definedName name="_xlnm._FilterDatabase" localSheetId="0" hidden="1">SITE!$C$2:$V$371</definedName>
    <definedName name="_xlnm.Print_Area" localSheetId="0">SITE!$B$2:$V$2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4" l="1"/>
  <c r="N36" i="4" l="1"/>
  <c r="U53" i="4" l="1"/>
  <c r="U51" i="4"/>
  <c r="U49" i="4"/>
  <c r="U47" i="4"/>
  <c r="U45" i="4"/>
  <c r="U29" i="4"/>
  <c r="U43" i="4"/>
  <c r="U38" i="4" l="1"/>
  <c r="U5" i="4"/>
  <c r="U8" i="4"/>
  <c r="U11" i="4"/>
  <c r="U41" i="4"/>
  <c r="F13" i="4"/>
  <c r="U13" i="4" s="1"/>
  <c r="F17" i="4"/>
  <c r="U19" i="4" s="1"/>
  <c r="U21" i="4"/>
  <c r="U23" i="4"/>
  <c r="U15" i="4"/>
  <c r="U31" i="4"/>
  <c r="U33" i="4"/>
  <c r="X26" i="4" l="1"/>
  <c r="U2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L36" authorId="0" shapeId="0" xr:uid="{7710929F-FDD8-4807-9155-BEAC77FD7A5D}">
      <text>
        <r>
          <rPr>
            <sz val="9"/>
            <color indexed="81"/>
            <rFont val="Tahoma"/>
            <family val="2"/>
          </rPr>
          <t>Ijin u/ tdk ad pot gaji Apr</t>
        </r>
      </text>
    </comment>
    <comment ref="N36" authorId="0" shapeId="0" xr:uid="{3F3208CA-BB95-4B9A-BEE6-704D910A472C}">
      <text>
        <r>
          <rPr>
            <sz val="9"/>
            <color indexed="81"/>
            <rFont val="Tahoma"/>
            <family val="2"/>
          </rPr>
          <t xml:space="preserve">-sisa pinjaman 19 des 334.000
- p1 pinjaman 5jul potong premi 1,5jt
</t>
        </r>
      </text>
    </comment>
    <comment ref="O36" authorId="0" shapeId="0" xr:uid="{C08BBB02-CDE1-4338-8981-3863BDACA450}">
      <text>
        <r>
          <rPr>
            <sz val="9"/>
            <color indexed="81"/>
            <rFont val="Tahoma"/>
            <family val="2"/>
          </rPr>
          <t xml:space="preserve">Potong premi Juni 2025
</t>
        </r>
      </text>
    </comment>
    <comment ref="L51" authorId="0" shapeId="0" xr:uid="{4E486076-03D9-494B-B518-D91BE7272570}">
      <text>
        <r>
          <rPr>
            <sz val="9"/>
            <color indexed="81"/>
            <rFont val="Tahoma"/>
            <family val="2"/>
          </rPr>
          <t>Potong premi Apr 2.285.000</t>
        </r>
      </text>
    </comment>
  </commentList>
</comments>
</file>

<file path=xl/sharedStrings.xml><?xml version="1.0" encoding="utf-8"?>
<sst xmlns="http://schemas.openxmlformats.org/spreadsheetml/2006/main" count="131" uniqueCount="70">
  <si>
    <t>KODE KARYAWAN</t>
  </si>
  <si>
    <t>ATS SMB</t>
  </si>
  <si>
    <t>EDY SAHPUTRA</t>
  </si>
  <si>
    <t>ISHAQ</t>
  </si>
  <si>
    <t>ATS LLG</t>
  </si>
  <si>
    <t>JAN</t>
  </si>
  <si>
    <t>FEB</t>
  </si>
  <si>
    <t>MAR</t>
  </si>
  <si>
    <t>APR</t>
  </si>
  <si>
    <t>MAY</t>
  </si>
  <si>
    <t>JUNI</t>
  </si>
  <si>
    <t>JULI</t>
  </si>
  <si>
    <t>AGUSTUS</t>
  </si>
  <si>
    <t>SEPT</t>
  </si>
  <si>
    <t>OKT</t>
  </si>
  <si>
    <t>NOV</t>
  </si>
  <si>
    <t>DES</t>
  </si>
  <si>
    <t>ARIF NYIWA</t>
  </si>
  <si>
    <t>015/HRD/FKP/V/2024</t>
  </si>
  <si>
    <t xml:space="preserve">NO.091/ATS-SUMBA/IX/2024  </t>
  </si>
  <si>
    <t>MUJIONO</t>
  </si>
  <si>
    <t>MDR 9806</t>
  </si>
  <si>
    <t>FKP/HRD/OKT/2024/5</t>
  </si>
  <si>
    <t>ATS JMB</t>
  </si>
  <si>
    <t>HENDRIKUS LERA SAKENG</t>
  </si>
  <si>
    <t>FKP/HRD/NOV/2024/6</t>
  </si>
  <si>
    <t xml:space="preserve">NO.119/ATS-SUMBA/XI/2024 </t>
  </si>
  <si>
    <t>LPD 131/ATS-SUMBA/XII/2024</t>
  </si>
  <si>
    <t>FKP/HRD/NOV/2024/7</t>
  </si>
  <si>
    <t>FKP/HRD/DES/2024/1</t>
  </si>
  <si>
    <t>FKP/HRD/DES/2024/3</t>
  </si>
  <si>
    <t>FKP/HRD/DES/2024/2</t>
  </si>
  <si>
    <t>MOHAMAD IWAN FAUZI</t>
  </si>
  <si>
    <t>No Form</t>
  </si>
  <si>
    <t>FKP/HRD/JAN/2024/1</t>
  </si>
  <si>
    <t>NO.008/ATS-SUMBA/I/2025</t>
  </si>
  <si>
    <t>MARDIANTO ESTON HAE</t>
  </si>
  <si>
    <t>LPD 011/ATS-SUMBA/I/2025</t>
  </si>
  <si>
    <t>FKP/HRD/FEB/2025/1</t>
  </si>
  <si>
    <t>WANDI</t>
  </si>
  <si>
    <t>RO LLG</t>
  </si>
  <si>
    <t>BCA 099</t>
  </si>
  <si>
    <t>ATS SSL</t>
  </si>
  <si>
    <t>ATS PPA</t>
  </si>
  <si>
    <t>Bank A</t>
  </si>
  <si>
    <t>Employee</t>
  </si>
  <si>
    <t>ONO</t>
  </si>
  <si>
    <t>SAKENA</t>
  </si>
  <si>
    <t>NDEWA</t>
  </si>
  <si>
    <t>TIANA</t>
  </si>
  <si>
    <t>NYIMA</t>
  </si>
  <si>
    <t>BINIA</t>
  </si>
  <si>
    <t>PUTRAKU</t>
  </si>
  <si>
    <t>AMANA</t>
  </si>
  <si>
    <t>HAENA</t>
  </si>
  <si>
    <t>DENU</t>
  </si>
  <si>
    <t>JANY</t>
  </si>
  <si>
    <t>UBANA</t>
  </si>
  <si>
    <t>AMANAH</t>
  </si>
  <si>
    <t>ARIA</t>
  </si>
  <si>
    <t>LUNA</t>
  </si>
  <si>
    <t>LANABA</t>
  </si>
  <si>
    <t>RADIANT</t>
  </si>
  <si>
    <t>SITE</t>
  </si>
  <si>
    <t>LOAN DATE</t>
  </si>
  <si>
    <t>LOAN AMOUNT</t>
  </si>
  <si>
    <t>BANK TRANSFER</t>
  </si>
  <si>
    <t>YEAR</t>
  </si>
  <si>
    <t>REMAINIG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</si>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</sst>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&quot;Rp&quot;* #,##0_);_(&quot;Rp&quot;* \(#,##0\);_(&quot;Rp&quot;* &quot;-&quot;_);_(@_)"/>
    <numFmt numFmtId="165" formatCode="[$-409]dd\-mmm\-yy;@"/>
    <numFmt numFmtId="166" formatCode="_(* #,##0_);_(* \(#,##0\);_(* &quot;-&quot;_);_(@_)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22222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2" tint="-0.499984740745262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166" fontId="19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1"/>
    <xf numFmtId="0" fontId="2" fillId="0" borderId="0" xfId="1" applyFont="1"/>
    <xf numFmtId="164" fontId="3" fillId="0" borderId="0" xfId="1" applyNumberFormat="1"/>
    <xf numFmtId="0" fontId="3" fillId="0" borderId="0" xfId="1" applyAlignment="1">
      <alignment horizontal="left"/>
    </xf>
    <xf numFmtId="0" fontId="5" fillId="0" borderId="0" xfId="1" applyFont="1"/>
    <xf numFmtId="0" fontId="7" fillId="0" borderId="2" xfId="1" applyFont="1" applyBorder="1"/>
    <xf numFmtId="0" fontId="7" fillId="0" borderId="0" xfId="1" applyFont="1"/>
    <xf numFmtId="0" fontId="10" fillId="0" borderId="0" xfId="1" applyFont="1"/>
    <xf numFmtId="0" fontId="8" fillId="0" borderId="0" xfId="0" applyFont="1"/>
    <xf numFmtId="0" fontId="7" fillId="0" borderId="0" xfId="1" applyFont="1" applyAlignment="1">
      <alignment horizontal="left"/>
    </xf>
    <xf numFmtId="164" fontId="7" fillId="0" borderId="0" xfId="1" applyNumberFormat="1" applyFont="1"/>
    <xf numFmtId="0" fontId="12" fillId="0" borderId="0" xfId="1" applyFont="1"/>
    <xf numFmtId="0" fontId="7" fillId="0" borderId="7" xfId="1" quotePrefix="1" applyFont="1" applyBorder="1" applyAlignment="1">
      <alignment horizontal="left"/>
    </xf>
    <xf numFmtId="165" fontId="7" fillId="0" borderId="2" xfId="1" applyNumberFormat="1" applyFont="1" applyBorder="1"/>
    <xf numFmtId="164" fontId="7" fillId="0" borderId="2" xfId="1" applyNumberFormat="1" applyFont="1" applyBorder="1"/>
    <xf numFmtId="0" fontId="12" fillId="0" borderId="2" xfId="1" applyFont="1" applyBorder="1"/>
    <xf numFmtId="0" fontId="9" fillId="0" borderId="3" xfId="1" applyFont="1" applyBorder="1" applyAlignment="1">
      <alignment horizontal="left"/>
    </xf>
    <xf numFmtId="164" fontId="8" fillId="2" borderId="5" xfId="0" applyNumberFormat="1" applyFont="1" applyFill="1" applyBorder="1"/>
    <xf numFmtId="0" fontId="11" fillId="0" borderId="14" xfId="0" quotePrefix="1" applyFont="1" applyBorder="1"/>
    <xf numFmtId="165" fontId="8" fillId="2" borderId="5" xfId="0" applyNumberFormat="1" applyFont="1" applyFill="1" applyBorder="1"/>
    <xf numFmtId="164" fontId="7" fillId="2" borderId="5" xfId="0" applyNumberFormat="1" applyFont="1" applyFill="1" applyBorder="1"/>
    <xf numFmtId="0" fontId="12" fillId="2" borderId="5" xfId="0" applyFont="1" applyFill="1" applyBorder="1"/>
    <xf numFmtId="0" fontId="9" fillId="0" borderId="6" xfId="0" applyFont="1" applyBorder="1" applyAlignment="1">
      <alignment wrapText="1"/>
    </xf>
    <xf numFmtId="0" fontId="7" fillId="2" borderId="13" xfId="0" applyFont="1" applyFill="1" applyBorder="1" applyAlignment="1">
      <alignment horizontal="left"/>
    </xf>
    <xf numFmtId="164" fontId="12" fillId="0" borderId="0" xfId="1" applyNumberFormat="1" applyFont="1"/>
    <xf numFmtId="0" fontId="12" fillId="4" borderId="19" xfId="1" applyFont="1" applyFill="1" applyBorder="1" applyAlignment="1">
      <alignment horizontal="center" vertical="center" wrapText="1"/>
    </xf>
    <xf numFmtId="164" fontId="12" fillId="4" borderId="19" xfId="1" applyNumberFormat="1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11" fillId="0" borderId="1" xfId="0" quotePrefix="1" applyFont="1" applyBorder="1"/>
    <xf numFmtId="3" fontId="7" fillId="0" borderId="0" xfId="1" applyNumberFormat="1" applyFont="1"/>
    <xf numFmtId="3" fontId="12" fillId="4" borderId="19" xfId="0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/>
    <xf numFmtId="3" fontId="8" fillId="2" borderId="5" xfId="0" applyNumberFormat="1" applyFont="1" applyFill="1" applyBorder="1"/>
    <xf numFmtId="3" fontId="3" fillId="0" borderId="0" xfId="1" applyNumberFormat="1"/>
    <xf numFmtId="3" fontId="7" fillId="2" borderId="21" xfId="1" applyNumberFormat="1" applyFont="1" applyFill="1" applyBorder="1"/>
    <xf numFmtId="0" fontId="7" fillId="0" borderId="5" xfId="1" applyFont="1" applyBorder="1"/>
    <xf numFmtId="165" fontId="7" fillId="0" borderId="5" xfId="1" applyNumberFormat="1" applyFont="1" applyBorder="1"/>
    <xf numFmtId="0" fontId="12" fillId="0" borderId="5" xfId="1" applyFont="1" applyBorder="1"/>
    <xf numFmtId="3" fontId="7" fillId="2" borderId="5" xfId="1" applyNumberFormat="1" applyFont="1" applyFill="1" applyBorder="1"/>
    <xf numFmtId="0" fontId="9" fillId="0" borderId="6" xfId="1" applyFont="1" applyBorder="1" applyAlignment="1">
      <alignment horizontal="left"/>
    </xf>
    <xf numFmtId="0" fontId="7" fillId="0" borderId="10" xfId="1" quotePrefix="1" applyFont="1" applyBorder="1" applyAlignment="1">
      <alignment horizontal="left"/>
    </xf>
    <xf numFmtId="165" fontId="7" fillId="0" borderId="8" xfId="1" applyNumberFormat="1" applyFont="1" applyBorder="1"/>
    <xf numFmtId="164" fontId="7" fillId="0" borderId="8" xfId="1" applyNumberFormat="1" applyFont="1" applyBorder="1"/>
    <xf numFmtId="0" fontId="7" fillId="0" borderId="8" xfId="1" applyFont="1" applyBorder="1"/>
    <xf numFmtId="0" fontId="12" fillId="0" borderId="8" xfId="1" applyFont="1" applyBorder="1"/>
    <xf numFmtId="3" fontId="7" fillId="2" borderId="8" xfId="1" applyNumberFormat="1" applyFont="1" applyFill="1" applyBorder="1"/>
    <xf numFmtId="0" fontId="9" fillId="0" borderId="9" xfId="1" applyFont="1" applyBorder="1" applyAlignment="1">
      <alignment horizontal="left"/>
    </xf>
    <xf numFmtId="164" fontId="15" fillId="3" borderId="5" xfId="1" applyNumberFormat="1" applyFont="1" applyFill="1" applyBorder="1"/>
    <xf numFmtId="164" fontId="7" fillId="2" borderId="5" xfId="1" applyNumberFormat="1" applyFont="1" applyFill="1" applyBorder="1"/>
    <xf numFmtId="164" fontId="7" fillId="2" borderId="0" xfId="1" applyNumberFormat="1" applyFont="1" applyFill="1"/>
    <xf numFmtId="164" fontId="15" fillId="3" borderId="2" xfId="1" applyNumberFormat="1" applyFont="1" applyFill="1" applyBorder="1"/>
    <xf numFmtId="0" fontId="10" fillId="0" borderId="22" xfId="1" quotePrefix="1" applyFont="1" applyBorder="1" applyAlignment="1">
      <alignment horizontal="left"/>
    </xf>
    <xf numFmtId="165" fontId="7" fillId="0" borderId="5" xfId="1" applyNumberFormat="1" applyFont="1" applyBorder="1" applyAlignment="1">
      <alignment horizontal="right"/>
    </xf>
    <xf numFmtId="0" fontId="7" fillId="0" borderId="0" xfId="1" applyFont="1" applyAlignment="1">
      <alignment horizontal="right"/>
    </xf>
    <xf numFmtId="3" fontId="7" fillId="2" borderId="2" xfId="0" applyNumberFormat="1" applyFont="1" applyFill="1" applyBorder="1" applyAlignment="1">
      <alignment vertical="center"/>
    </xf>
    <xf numFmtId="164" fontId="15" fillId="3" borderId="8" xfId="1" applyNumberFormat="1" applyFont="1" applyFill="1" applyBorder="1"/>
    <xf numFmtId="0" fontId="7" fillId="0" borderId="11" xfId="1" applyFont="1" applyBorder="1"/>
    <xf numFmtId="0" fontId="7" fillId="0" borderId="12" xfId="1" applyFont="1" applyBorder="1"/>
    <xf numFmtId="0" fontId="7" fillId="0" borderId="1" xfId="1" quotePrefix="1" applyFont="1" applyBorder="1" applyAlignment="1">
      <alignment horizontal="left"/>
    </xf>
    <xf numFmtId="3" fontId="7" fillId="0" borderId="0" xfId="1" applyNumberFormat="1" applyFont="1" applyAlignment="1">
      <alignment vertical="center"/>
    </xf>
    <xf numFmtId="3" fontId="7" fillId="0" borderId="2" xfId="1" applyNumberFormat="1" applyFont="1" applyBorder="1" applyAlignment="1">
      <alignment vertical="center"/>
    </xf>
    <xf numFmtId="3" fontId="8" fillId="0" borderId="5" xfId="0" applyNumberFormat="1" applyFont="1" applyBorder="1" applyAlignment="1">
      <alignment vertical="center"/>
    </xf>
    <xf numFmtId="3" fontId="7" fillId="0" borderId="8" xfId="1" applyNumberFormat="1" applyFont="1" applyBorder="1" applyAlignment="1">
      <alignment vertical="center"/>
    </xf>
    <xf numFmtId="3" fontId="7" fillId="0" borderId="5" xfId="1" applyNumberFormat="1" applyFont="1" applyBorder="1" applyAlignment="1">
      <alignment vertical="center"/>
    </xf>
    <xf numFmtId="3" fontId="3" fillId="0" borderId="0" xfId="1" applyNumberFormat="1" applyAlignment="1">
      <alignment vertical="center"/>
    </xf>
    <xf numFmtId="0" fontId="10" fillId="0" borderId="1" xfId="1" quotePrefix="1" applyFont="1" applyBorder="1" applyAlignment="1">
      <alignment horizontal="left"/>
    </xf>
    <xf numFmtId="0" fontId="10" fillId="0" borderId="7" xfId="1" quotePrefix="1" applyFont="1" applyBorder="1" applyAlignment="1">
      <alignment horizontal="left"/>
    </xf>
    <xf numFmtId="164" fontId="7" fillId="2" borderId="2" xfId="1" applyNumberFormat="1" applyFont="1" applyFill="1" applyBorder="1"/>
    <xf numFmtId="165" fontId="7" fillId="0" borderId="2" xfId="1" applyNumberFormat="1" applyFont="1" applyBorder="1" applyAlignment="1">
      <alignment horizontal="right"/>
    </xf>
    <xf numFmtId="3" fontId="7" fillId="5" borderId="2" xfId="1" applyNumberFormat="1" applyFont="1" applyFill="1" applyBorder="1"/>
    <xf numFmtId="0" fontId="10" fillId="0" borderId="10" xfId="1" quotePrefix="1" applyFont="1" applyBorder="1" applyAlignment="1">
      <alignment horizontal="left"/>
    </xf>
    <xf numFmtId="164" fontId="7" fillId="2" borderId="8" xfId="1" applyNumberFormat="1" applyFont="1" applyFill="1" applyBorder="1"/>
    <xf numFmtId="165" fontId="7" fillId="0" borderId="8" xfId="1" applyNumberFormat="1" applyFont="1" applyBorder="1" applyAlignment="1">
      <alignment horizontal="right"/>
    </xf>
    <xf numFmtId="3" fontId="7" fillId="2" borderId="8" xfId="0" applyNumberFormat="1" applyFont="1" applyFill="1" applyBorder="1" applyAlignment="1">
      <alignment vertical="center"/>
    </xf>
    <xf numFmtId="164" fontId="7" fillId="2" borderId="8" xfId="1" applyNumberFormat="1" applyFont="1" applyFill="1" applyBorder="1" applyAlignment="1">
      <alignment horizontal="right"/>
    </xf>
    <xf numFmtId="165" fontId="7" fillId="0" borderId="2" xfId="1" applyNumberFormat="1" applyFont="1" applyBorder="1" applyAlignment="1">
      <alignment horizontal="right" vertical="center" wrapText="1"/>
    </xf>
    <xf numFmtId="165" fontId="7" fillId="0" borderId="8" xfId="1" applyNumberFormat="1" applyFont="1" applyBorder="1" applyAlignment="1">
      <alignment horizontal="right" vertical="center" wrapText="1"/>
    </xf>
    <xf numFmtId="3" fontId="7" fillId="2" borderId="5" xfId="1" applyNumberFormat="1" applyFont="1" applyFill="1" applyBorder="1" applyAlignment="1">
      <alignment vertical="center"/>
    </xf>
    <xf numFmtId="3" fontId="3" fillId="2" borderId="0" xfId="1" applyNumberFormat="1" applyFill="1"/>
    <xf numFmtId="3" fontId="3" fillId="2" borderId="0" xfId="1" applyNumberFormat="1" applyFill="1" applyAlignment="1">
      <alignment vertical="center"/>
    </xf>
    <xf numFmtId="0" fontId="14" fillId="0" borderId="8" xfId="1" applyFont="1" applyBorder="1"/>
    <xf numFmtId="0" fontId="16" fillId="0" borderId="13" xfId="1" quotePrefix="1" applyFont="1" applyBorder="1" applyAlignment="1">
      <alignment horizontal="left"/>
    </xf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24" xfId="1" quotePrefix="1" applyFont="1" applyBorder="1" applyAlignment="1">
      <alignment horizontal="left"/>
    </xf>
    <xf numFmtId="0" fontId="7" fillId="0" borderId="26" xfId="1" applyFont="1" applyBorder="1"/>
    <xf numFmtId="165" fontId="7" fillId="0" borderId="27" xfId="1" applyNumberFormat="1" applyFont="1" applyBorder="1"/>
    <xf numFmtId="164" fontId="7" fillId="2" borderId="27" xfId="1" applyNumberFormat="1" applyFont="1" applyFill="1" applyBorder="1"/>
    <xf numFmtId="165" fontId="7" fillId="0" borderId="27" xfId="1" applyNumberFormat="1" applyFont="1" applyBorder="1" applyAlignment="1">
      <alignment horizontal="right"/>
    </xf>
    <xf numFmtId="0" fontId="12" fillId="0" borderId="27" xfId="1" applyFont="1" applyBorder="1"/>
    <xf numFmtId="3" fontId="7" fillId="0" borderId="27" xfId="1" applyNumberFormat="1" applyFont="1" applyBorder="1"/>
    <xf numFmtId="3" fontId="7" fillId="0" borderId="27" xfId="1" applyNumberFormat="1" applyFont="1" applyBorder="1" applyAlignment="1">
      <alignment vertical="center"/>
    </xf>
    <xf numFmtId="0" fontId="9" fillId="0" borderId="28" xfId="1" applyFont="1" applyBorder="1" applyAlignment="1">
      <alignment horizontal="left"/>
    </xf>
    <xf numFmtId="0" fontId="7" fillId="0" borderId="16" xfId="1" quotePrefix="1" applyFont="1" applyBorder="1" applyAlignment="1">
      <alignment horizontal="left"/>
    </xf>
    <xf numFmtId="0" fontId="14" fillId="0" borderId="17" xfId="1" applyFont="1" applyBorder="1" applyAlignment="1">
      <alignment vertical="center"/>
    </xf>
    <xf numFmtId="0" fontId="7" fillId="0" borderId="18" xfId="1" applyFont="1" applyBorder="1"/>
    <xf numFmtId="3" fontId="7" fillId="0" borderId="8" xfId="1" applyNumberFormat="1" applyFont="1" applyBorder="1"/>
    <xf numFmtId="3" fontId="7" fillId="2" borderId="8" xfId="1" applyNumberFormat="1" applyFont="1" applyFill="1" applyBorder="1" applyAlignment="1">
      <alignment vertical="center"/>
    </xf>
    <xf numFmtId="0" fontId="14" fillId="0" borderId="8" xfId="0" quotePrefix="1" applyFont="1" applyBorder="1"/>
    <xf numFmtId="3" fontId="7" fillId="2" borderId="2" xfId="1" applyNumberFormat="1" applyFont="1" applyFill="1" applyBorder="1" applyAlignment="1">
      <alignment vertical="center"/>
    </xf>
    <xf numFmtId="0" fontId="14" fillId="0" borderId="17" xfId="0" quotePrefix="1" applyFont="1" applyBorder="1"/>
    <xf numFmtId="165" fontId="17" fillId="0" borderId="8" xfId="1" applyNumberFormat="1" applyFont="1" applyBorder="1" applyAlignment="1">
      <alignment horizontal="left" vertical="center" wrapText="1"/>
    </xf>
    <xf numFmtId="0" fontId="7" fillId="0" borderId="1" xfId="1" applyFont="1" applyBorder="1"/>
    <xf numFmtId="165" fontId="10" fillId="0" borderId="5" xfId="1" applyNumberFormat="1" applyFont="1" applyBorder="1" applyAlignment="1">
      <alignment horizontal="right" vertical="center" wrapText="1"/>
    </xf>
    <xf numFmtId="164" fontId="13" fillId="3" borderId="4" xfId="0" applyNumberFormat="1" applyFont="1" applyFill="1" applyBorder="1" applyAlignment="1">
      <alignment vertical="center"/>
    </xf>
    <xf numFmtId="3" fontId="9" fillId="0" borderId="5" xfId="1" applyNumberFormat="1" applyFont="1" applyBorder="1"/>
    <xf numFmtId="3" fontId="9" fillId="0" borderId="5" xfId="0" applyNumberFormat="1" applyFont="1" applyBorder="1"/>
    <xf numFmtId="3" fontId="9" fillId="0" borderId="8" xfId="1" applyNumberFormat="1" applyFont="1" applyBorder="1"/>
    <xf numFmtId="3" fontId="9" fillId="0" borderId="2" xfId="1" applyNumberFormat="1" applyFont="1" applyBorder="1"/>
    <xf numFmtId="3" fontId="9" fillId="0" borderId="27" xfId="1" applyNumberFormat="1" applyFont="1" applyBorder="1"/>
    <xf numFmtId="0" fontId="7" fillId="0" borderId="22" xfId="1" applyFont="1" applyBorder="1" applyAlignment="1">
      <alignment vertical="center"/>
    </xf>
    <xf numFmtId="3" fontId="9" fillId="0" borderId="0" xfId="1" applyNumberFormat="1" applyFont="1"/>
    <xf numFmtId="3" fontId="4" fillId="0" borderId="0" xfId="1" applyNumberFormat="1" applyFont="1"/>
    <xf numFmtId="0" fontId="10" fillId="0" borderId="0" xfId="1" quotePrefix="1" applyFont="1" applyAlignment="1">
      <alignment horizontal="left"/>
    </xf>
    <xf numFmtId="165" fontId="7" fillId="0" borderId="0" xfId="1" applyNumberFormat="1" applyFont="1"/>
    <xf numFmtId="165" fontId="7" fillId="0" borderId="0" xfId="1" applyNumberFormat="1" applyFont="1" applyAlignment="1">
      <alignment horizontal="right"/>
    </xf>
    <xf numFmtId="3" fontId="7" fillId="2" borderId="0" xfId="1" applyNumberFormat="1" applyFont="1" applyFill="1"/>
    <xf numFmtId="164" fontId="15" fillId="3" borderId="0" xfId="1" applyNumberFormat="1" applyFont="1" applyFill="1"/>
    <xf numFmtId="0" fontId="9" fillId="0" borderId="0" xfId="1" applyFont="1" applyAlignment="1">
      <alignment horizontal="left"/>
    </xf>
    <xf numFmtId="0" fontId="7" fillId="0" borderId="2" xfId="1" applyFont="1" applyBorder="1" applyAlignment="1">
      <alignment horizontal="left" vertical="center"/>
    </xf>
    <xf numFmtId="0" fontId="14" fillId="0" borderId="8" xfId="1" applyFont="1" applyBorder="1" applyAlignment="1">
      <alignment horizontal="left" vertical="center"/>
    </xf>
    <xf numFmtId="0" fontId="10" fillId="0" borderId="29" xfId="1" quotePrefix="1" applyFont="1" applyBorder="1" applyAlignment="1">
      <alignment horizontal="left"/>
    </xf>
    <xf numFmtId="0" fontId="7" fillId="0" borderId="23" xfId="1" applyFont="1" applyBorder="1"/>
    <xf numFmtId="165" fontId="7" fillId="0" borderId="23" xfId="1" applyNumberFormat="1" applyFont="1" applyBorder="1"/>
    <xf numFmtId="164" fontId="7" fillId="2" borderId="23" xfId="1" applyNumberFormat="1" applyFont="1" applyFill="1" applyBorder="1"/>
    <xf numFmtId="165" fontId="7" fillId="0" borderId="23" xfId="1" applyNumberFormat="1" applyFont="1" applyBorder="1" applyAlignment="1">
      <alignment horizontal="right"/>
    </xf>
    <xf numFmtId="0" fontId="12" fillId="0" borderId="23" xfId="1" applyFont="1" applyBorder="1"/>
    <xf numFmtId="3" fontId="9" fillId="0" borderId="23" xfId="1" applyNumberFormat="1" applyFont="1" applyBorder="1"/>
    <xf numFmtId="3" fontId="7" fillId="2" borderId="23" xfId="1" applyNumberFormat="1" applyFont="1" applyFill="1" applyBorder="1"/>
    <xf numFmtId="3" fontId="7" fillId="0" borderId="23" xfId="1" applyNumberFormat="1" applyFont="1" applyBorder="1" applyAlignment="1">
      <alignment vertical="center"/>
    </xf>
    <xf numFmtId="0" fontId="9" fillId="0" borderId="30" xfId="1" applyFont="1" applyBorder="1" applyAlignment="1">
      <alignment horizontal="left"/>
    </xf>
    <xf numFmtId="0" fontId="14" fillId="0" borderId="23" xfId="1" applyFont="1" applyBorder="1"/>
    <xf numFmtId="3" fontId="14" fillId="2" borderId="23" xfId="1" applyNumberFormat="1" applyFont="1" applyFill="1" applyBorder="1"/>
    <xf numFmtId="165" fontId="7" fillId="0" borderId="8" xfId="1" applyNumberFormat="1" applyFont="1" applyBorder="1" applyAlignment="1">
      <alignment horizontal="left"/>
    </xf>
    <xf numFmtId="3" fontId="18" fillId="4" borderId="19" xfId="0" applyNumberFormat="1" applyFont="1" applyFill="1" applyBorder="1" applyAlignment="1">
      <alignment horizontal="center" vertical="center"/>
    </xf>
    <xf numFmtId="164" fontId="13" fillId="3" borderId="5" xfId="0" applyNumberFormat="1" applyFont="1" applyFill="1" applyBorder="1" applyAlignment="1">
      <alignment vertical="center"/>
    </xf>
    <xf numFmtId="164" fontId="15" fillId="6" borderId="2" xfId="1" applyNumberFormat="1" applyFont="1" applyFill="1" applyBorder="1"/>
    <xf numFmtId="164" fontId="15" fillId="6" borderId="8" xfId="1" applyNumberFormat="1" applyFont="1" applyFill="1" applyBorder="1"/>
    <xf numFmtId="164" fontId="15" fillId="6" borderId="5" xfId="1" applyNumberFormat="1" applyFont="1" applyFill="1" applyBorder="1"/>
    <xf numFmtId="164" fontId="13" fillId="6" borderId="5" xfId="0" applyNumberFormat="1" applyFont="1" applyFill="1" applyBorder="1" applyAlignment="1">
      <alignment vertical="center"/>
    </xf>
    <xf numFmtId="164" fontId="15" fillId="6" borderId="27" xfId="1" applyNumberFormat="1" applyFont="1" applyFill="1" applyBorder="1"/>
    <xf numFmtId="164" fontId="13" fillId="6" borderId="4" xfId="0" applyNumberFormat="1" applyFont="1" applyFill="1" applyBorder="1" applyAlignment="1">
      <alignment vertical="center"/>
    </xf>
    <xf numFmtId="164" fontId="9" fillId="0" borderId="3" xfId="1" applyNumberFormat="1" applyFont="1" applyBorder="1" applyAlignment="1">
      <alignment horizontal="left"/>
    </xf>
    <xf numFmtId="0" fontId="7" fillId="0" borderId="25" xfId="1" applyFont="1" applyBorder="1" applyAlignment="1">
      <alignment vertical="center"/>
    </xf>
    <xf numFmtId="0" fontId="7" fillId="0" borderId="31" xfId="1" quotePrefix="1" applyFont="1" applyBorder="1" applyAlignment="1">
      <alignment horizontal="left"/>
    </xf>
    <xf numFmtId="0" fontId="7" fillId="0" borderId="32" xfId="1" applyFont="1" applyBorder="1" applyAlignment="1">
      <alignment vertical="center"/>
    </xf>
    <xf numFmtId="0" fontId="7" fillId="0" borderId="33" xfId="1" applyFont="1" applyBorder="1"/>
    <xf numFmtId="165" fontId="7" fillId="0" borderId="4" xfId="1" applyNumberFormat="1" applyFont="1" applyBorder="1"/>
    <xf numFmtId="164" fontId="7" fillId="2" borderId="4" xfId="1" applyNumberFormat="1" applyFont="1" applyFill="1" applyBorder="1"/>
    <xf numFmtId="165" fontId="7" fillId="0" borderId="4" xfId="1" applyNumberFormat="1" applyFont="1" applyBorder="1" applyAlignment="1">
      <alignment horizontal="right"/>
    </xf>
    <xf numFmtId="0" fontId="12" fillId="0" borderId="4" xfId="1" applyFont="1" applyBorder="1"/>
    <xf numFmtId="3" fontId="9" fillId="0" borderId="4" xfId="1" applyNumberFormat="1" applyFont="1" applyBorder="1"/>
    <xf numFmtId="3" fontId="7" fillId="0" borderId="4" xfId="1" applyNumberFormat="1" applyFont="1" applyBorder="1"/>
    <xf numFmtId="3" fontId="7" fillId="0" borderId="4" xfId="1" applyNumberFormat="1" applyFont="1" applyBorder="1" applyAlignment="1">
      <alignment vertical="center"/>
    </xf>
    <xf numFmtId="164" fontId="15" fillId="6" borderId="4" xfId="1" applyNumberFormat="1" applyFont="1" applyFill="1" applyBorder="1"/>
    <xf numFmtId="0" fontId="9" fillId="0" borderId="34" xfId="1" applyFont="1" applyBorder="1" applyAlignment="1">
      <alignment horizontal="left"/>
    </xf>
    <xf numFmtId="3" fontId="9" fillId="0" borderId="35" xfId="1" applyNumberFormat="1" applyFont="1" applyBorder="1"/>
    <xf numFmtId="164" fontId="15" fillId="3" borderId="23" xfId="1" applyNumberFormat="1" applyFont="1" applyFill="1" applyBorder="1"/>
    <xf numFmtId="3" fontId="14" fillId="7" borderId="27" xfId="1" applyNumberFormat="1" applyFont="1" applyFill="1" applyBorder="1"/>
  </cellXfs>
  <cellStyles count="5">
    <cellStyle name="Comma [0] 2" xfId="2" xr:uid="{00000000-0005-0000-0000-000000000000}"/>
    <cellStyle name="Comma [0] 3" xfId="4" xr:uid="{FA3FE258-B00C-4EAC-A88D-2B0F77FCAC28}"/>
    <cellStyle name="Normal" xfId="0" builtinId="0"/>
    <cellStyle name="Normal 2" xfId="1" xr:uid="{00000000-0005-0000-0000-000002000000}"/>
    <cellStyle name="Normal 3" xfId="3" xr:uid="{6A381F40-4BB2-4C63-84ED-B4C999072636}"/>
  </cellStyles>
  <dxfs count="1"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7"/>
  <sheetViews>
    <sheetView tabSelected="1" zoomScaleNormal="100" workbookViewId="0">
      <pane xSplit="8" ySplit="2" topLeftCell="L3" activePane="bottomRight" state="frozen"/>
      <selection pane="topRight" activeCell="J1" sqref="J1"/>
      <selection pane="bottomLeft" activeCell="A6" sqref="A6"/>
      <selection pane="bottomRight" activeCell="V9" sqref="V9"/>
    </sheetView>
  </sheetViews>
  <sheetFormatPr defaultRowHeight="12" outlineLevelCol="1" x14ac:dyDescent="0.2"/>
  <cols>
    <col min="1" max="1" width="1.42578125" style="7" customWidth="1"/>
    <col min="2" max="2" width="20.5703125" style="7" hidden="1" customWidth="1"/>
    <col min="3" max="3" width="17.7109375" style="10" customWidth="1"/>
    <col min="4" max="4" width="8" style="7" customWidth="1"/>
    <col min="5" max="5" width="9.140625" style="7" customWidth="1"/>
    <col min="6" max="6" width="12.7109375" style="11" customWidth="1"/>
    <col min="7" max="7" width="9" style="7" customWidth="1"/>
    <col min="8" max="8" width="4.85546875" style="12" customWidth="1"/>
    <col min="9" max="10" width="8.7109375" style="32" customWidth="1" outlineLevel="1"/>
    <col min="11" max="11" width="8.7109375" style="114" customWidth="1" outlineLevel="1"/>
    <col min="12" max="14" width="8.7109375" style="32" customWidth="1" outlineLevel="1"/>
    <col min="15" max="19" width="8.7109375" style="32" customWidth="1"/>
    <col min="20" max="20" width="8.7109375" style="62" customWidth="1"/>
    <col min="21" max="21" width="14.28515625" style="12" customWidth="1"/>
    <col min="22" max="22" width="23.5703125" style="10" customWidth="1"/>
    <col min="23" max="23" width="9.140625" style="7"/>
    <col min="24" max="24" width="11.5703125" style="7" bestFit="1" customWidth="1"/>
    <col min="25" max="25" width="11" style="7" bestFit="1" customWidth="1"/>
    <col min="26" max="16384" width="9.140625" style="7"/>
  </cols>
  <sheetData>
    <row r="1" spans="1:22" ht="9.75" customHeight="1" thickBot="1" x14ac:dyDescent="0.25"/>
    <row r="2" spans="1:22" s="30" customFormat="1" ht="33" customHeight="1" x14ac:dyDescent="0.25">
      <c r="B2" s="26" t="s">
        <v>0</v>
      </c>
      <c r="C2" s="26" t="s">
        <v>45</v>
      </c>
      <c r="D2" s="26" t="s">
        <v>63</v>
      </c>
      <c r="E2" s="26" t="s">
        <v>64</v>
      </c>
      <c r="F2" s="27" t="s">
        <v>65</v>
      </c>
      <c r="G2" s="26" t="s">
        <v>66</v>
      </c>
      <c r="H2" s="26" t="s">
        <v>67</v>
      </c>
      <c r="I2" s="33" t="s">
        <v>5</v>
      </c>
      <c r="J2" s="33" t="s">
        <v>6</v>
      </c>
      <c r="K2" s="137" t="s">
        <v>7</v>
      </c>
      <c r="L2" s="33" t="s">
        <v>8</v>
      </c>
      <c r="M2" s="33" t="s">
        <v>9</v>
      </c>
      <c r="N2" s="33" t="s">
        <v>10</v>
      </c>
      <c r="O2" s="33" t="s">
        <v>11</v>
      </c>
      <c r="P2" s="33" t="s">
        <v>12</v>
      </c>
      <c r="Q2" s="33" t="s">
        <v>13</v>
      </c>
      <c r="R2" s="33" t="s">
        <v>14</v>
      </c>
      <c r="S2" s="33" t="s">
        <v>15</v>
      </c>
      <c r="T2" s="33" t="s">
        <v>16</v>
      </c>
      <c r="U2" s="28" t="s">
        <v>68</v>
      </c>
      <c r="V2" s="29" t="s">
        <v>69</v>
      </c>
    </row>
    <row r="3" spans="1:22" ht="12.75" customHeight="1" thickBot="1" x14ac:dyDescent="0.25">
      <c r="B3" s="8"/>
      <c r="C3" s="7"/>
      <c r="F3" s="52"/>
      <c r="G3" s="56"/>
      <c r="K3" s="32"/>
      <c r="U3" s="11"/>
    </row>
    <row r="4" spans="1:22" ht="20.100000000000001" customHeight="1" x14ac:dyDescent="0.2">
      <c r="B4" s="69" t="s">
        <v>19</v>
      </c>
      <c r="C4" s="6" t="s">
        <v>46</v>
      </c>
      <c r="D4" s="6" t="s">
        <v>1</v>
      </c>
      <c r="E4" s="14">
        <v>45566</v>
      </c>
      <c r="F4" s="70">
        <v>2000000</v>
      </c>
      <c r="G4" s="71" t="s">
        <v>44</v>
      </c>
      <c r="H4" s="16">
        <v>2024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57">
        <v>700000</v>
      </c>
      <c r="T4" s="63">
        <v>700000</v>
      </c>
      <c r="U4" s="53"/>
      <c r="V4" s="17"/>
    </row>
    <row r="5" spans="1:22" ht="20.100000000000001" customHeight="1" thickBot="1" x14ac:dyDescent="0.25">
      <c r="B5" s="73"/>
      <c r="C5" s="83" t="s">
        <v>20</v>
      </c>
      <c r="D5" s="83" t="s">
        <v>1</v>
      </c>
      <c r="E5" s="44"/>
      <c r="F5" s="74"/>
      <c r="G5" s="75"/>
      <c r="H5" s="47">
        <v>2025</v>
      </c>
      <c r="I5" s="110">
        <v>600000</v>
      </c>
      <c r="J5" s="48"/>
      <c r="K5" s="48"/>
      <c r="L5" s="48"/>
      <c r="M5" s="48"/>
      <c r="N5" s="48"/>
      <c r="O5" s="48"/>
      <c r="P5" s="48"/>
      <c r="Q5" s="48"/>
      <c r="R5" s="48"/>
      <c r="S5" s="76"/>
      <c r="T5" s="65"/>
      <c r="U5" s="107">
        <f>SUM(I4:T5)-SUM(F4:F5)</f>
        <v>0</v>
      </c>
      <c r="V5" s="49"/>
    </row>
    <row r="6" spans="1:22" ht="12.75" customHeight="1" thickBot="1" x14ac:dyDescent="0.25">
      <c r="C6" s="7"/>
      <c r="K6" s="32"/>
      <c r="U6" s="11"/>
    </row>
    <row r="7" spans="1:22" ht="20.100000000000001" customHeight="1" x14ac:dyDescent="0.2">
      <c r="B7" s="69" t="s">
        <v>26</v>
      </c>
      <c r="C7" s="6" t="s">
        <v>47</v>
      </c>
      <c r="D7" s="6" t="s">
        <v>1</v>
      </c>
      <c r="E7" s="14">
        <v>45611</v>
      </c>
      <c r="F7" s="70">
        <v>1000000</v>
      </c>
      <c r="G7" s="71" t="s">
        <v>44</v>
      </c>
      <c r="H7" s="16">
        <v>2024</v>
      </c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63">
        <v>500000</v>
      </c>
      <c r="U7" s="53"/>
      <c r="V7" s="17"/>
    </row>
    <row r="8" spans="1:22" ht="20.100000000000001" customHeight="1" thickBot="1" x14ac:dyDescent="0.25">
      <c r="B8" s="73"/>
      <c r="C8" s="83" t="s">
        <v>24</v>
      </c>
      <c r="D8" s="83" t="s">
        <v>1</v>
      </c>
      <c r="E8" s="44"/>
      <c r="F8" s="74"/>
      <c r="G8" s="75"/>
      <c r="H8" s="47">
        <v>2025</v>
      </c>
      <c r="I8" s="110">
        <v>500000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65"/>
      <c r="U8" s="107">
        <f>SUM(I7:T8)-SUM(F7:F8)</f>
        <v>0</v>
      </c>
      <c r="V8" s="49"/>
    </row>
    <row r="9" spans="1:22" ht="12.75" customHeight="1" thickBot="1" x14ac:dyDescent="0.25">
      <c r="C9" s="7"/>
      <c r="K9" s="32"/>
      <c r="U9" s="11"/>
    </row>
    <row r="10" spans="1:22" ht="20.100000000000001" customHeight="1" x14ac:dyDescent="0.2">
      <c r="A10" s="7">
        <v>1</v>
      </c>
      <c r="B10" s="13" t="s">
        <v>25</v>
      </c>
      <c r="C10" s="122" t="s">
        <v>3</v>
      </c>
      <c r="D10" s="6" t="s">
        <v>1</v>
      </c>
      <c r="E10" s="14">
        <v>45616</v>
      </c>
      <c r="F10" s="15">
        <v>5000000</v>
      </c>
      <c r="G10" s="71" t="s">
        <v>44</v>
      </c>
      <c r="H10" s="16">
        <v>2024</v>
      </c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63">
        <v>2500000</v>
      </c>
      <c r="U10" s="53"/>
      <c r="V10" s="17"/>
    </row>
    <row r="11" spans="1:22" ht="20.100000000000001" customHeight="1" thickBot="1" x14ac:dyDescent="0.25">
      <c r="B11" s="43"/>
      <c r="C11" s="123" t="s">
        <v>3</v>
      </c>
      <c r="D11" s="83" t="s">
        <v>1</v>
      </c>
      <c r="E11" s="44"/>
      <c r="F11" s="45"/>
      <c r="G11" s="77"/>
      <c r="H11" s="47">
        <v>2025</v>
      </c>
      <c r="I11" s="110">
        <v>2500000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65"/>
      <c r="U11" s="107">
        <f>SUM(I10:T11)-SUM(F10:F11)</f>
        <v>0</v>
      </c>
      <c r="V11" s="49"/>
    </row>
    <row r="12" spans="1:22" s="1" customFormat="1" ht="15.75" customHeight="1" thickBot="1" x14ac:dyDescent="0.3">
      <c r="B12" s="5"/>
      <c r="F12" s="3"/>
      <c r="G12" s="8"/>
      <c r="H12" s="2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67"/>
      <c r="U12" s="3"/>
      <c r="V12" s="4"/>
    </row>
    <row r="13" spans="1:22" ht="20.100000000000001" customHeight="1" thickBot="1" x14ac:dyDescent="0.25">
      <c r="B13" s="54" t="s">
        <v>27</v>
      </c>
      <c r="C13" s="38" t="s">
        <v>48</v>
      </c>
      <c r="D13" s="38" t="s">
        <v>1</v>
      </c>
      <c r="E13" s="39">
        <v>45640</v>
      </c>
      <c r="F13" s="51">
        <f>1500000/2</f>
        <v>750000</v>
      </c>
      <c r="G13" s="55" t="s">
        <v>44</v>
      </c>
      <c r="H13" s="40">
        <v>2025</v>
      </c>
      <c r="I13" s="108">
        <v>750000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66"/>
      <c r="U13" s="50">
        <f>SUM(I13:T13)-SUM(F13:F13)</f>
        <v>0</v>
      </c>
      <c r="V13" s="42"/>
    </row>
    <row r="14" spans="1:22" ht="20.100000000000001" customHeight="1" thickBot="1" x14ac:dyDescent="0.25">
      <c r="B14" s="116"/>
      <c r="C14" s="7"/>
      <c r="E14" s="117"/>
      <c r="F14" s="52"/>
      <c r="G14" s="118"/>
      <c r="I14" s="114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U14" s="120"/>
      <c r="V14" s="121"/>
    </row>
    <row r="15" spans="1:22" ht="20.100000000000001" customHeight="1" thickBot="1" x14ac:dyDescent="0.25">
      <c r="B15" s="61" t="s">
        <v>34</v>
      </c>
      <c r="C15" s="31" t="s">
        <v>49</v>
      </c>
      <c r="D15" s="38" t="s">
        <v>4</v>
      </c>
      <c r="E15" s="39">
        <v>45663</v>
      </c>
      <c r="F15" s="51">
        <v>1670246</v>
      </c>
      <c r="G15" s="55" t="s">
        <v>44</v>
      </c>
      <c r="H15" s="40">
        <v>2025</v>
      </c>
      <c r="I15" s="108">
        <v>835000</v>
      </c>
      <c r="J15" s="108">
        <v>835246</v>
      </c>
      <c r="K15" s="41"/>
      <c r="L15" s="41"/>
      <c r="M15" s="41"/>
      <c r="N15" s="41"/>
      <c r="O15" s="41"/>
      <c r="P15" s="41"/>
      <c r="Q15" s="41"/>
      <c r="R15" s="41"/>
      <c r="S15" s="41"/>
      <c r="T15" s="80"/>
      <c r="U15" s="50">
        <f>SUM(I15:T15)-SUM(F15:F15)</f>
        <v>0</v>
      </c>
      <c r="V15" s="42"/>
    </row>
    <row r="16" spans="1:22" s="1" customFormat="1" ht="15.75" customHeight="1" thickBot="1" x14ac:dyDescent="0.3">
      <c r="B16" s="5"/>
      <c r="F16" s="3"/>
      <c r="G16" s="8"/>
      <c r="H16" s="2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67"/>
      <c r="U16" s="3"/>
      <c r="V16" s="4"/>
    </row>
    <row r="17" spans="2:25" ht="20.100000000000001" customHeight="1" x14ac:dyDescent="0.2">
      <c r="B17" s="69" t="s">
        <v>27</v>
      </c>
      <c r="C17" s="6" t="s">
        <v>50</v>
      </c>
      <c r="D17" s="6" t="s">
        <v>1</v>
      </c>
      <c r="E17" s="14">
        <v>45640</v>
      </c>
      <c r="F17" s="70">
        <f>2000000/2</f>
        <v>1000000</v>
      </c>
      <c r="G17" s="71" t="s">
        <v>44</v>
      </c>
      <c r="H17" s="16">
        <v>2025</v>
      </c>
      <c r="I17" s="111">
        <v>1000000</v>
      </c>
      <c r="J17" s="111">
        <v>650000</v>
      </c>
      <c r="K17" s="111">
        <v>650000</v>
      </c>
      <c r="L17" s="111">
        <v>700000</v>
      </c>
      <c r="M17" s="111">
        <v>500000</v>
      </c>
      <c r="N17" s="111">
        <v>500000</v>
      </c>
      <c r="O17" s="34"/>
      <c r="P17" s="34"/>
      <c r="Q17" s="34"/>
      <c r="R17" s="34"/>
      <c r="S17" s="34"/>
      <c r="T17" s="63"/>
      <c r="U17" s="53"/>
      <c r="V17" s="17"/>
    </row>
    <row r="18" spans="2:25" ht="20.100000000000001" customHeight="1" x14ac:dyDescent="0.2">
      <c r="B18" s="124" t="s">
        <v>37</v>
      </c>
      <c r="C18" s="134" t="s">
        <v>17</v>
      </c>
      <c r="D18" s="125" t="s">
        <v>1</v>
      </c>
      <c r="E18" s="126">
        <v>45692</v>
      </c>
      <c r="F18" s="127">
        <v>2000000</v>
      </c>
      <c r="G18" s="128" t="s">
        <v>44</v>
      </c>
      <c r="H18" s="129"/>
      <c r="I18" s="130"/>
      <c r="J18" s="130"/>
      <c r="K18" s="130"/>
      <c r="L18" s="135"/>
      <c r="M18" s="131"/>
      <c r="N18" s="131"/>
      <c r="O18" s="131"/>
      <c r="P18" s="131"/>
      <c r="Q18" s="131"/>
      <c r="R18" s="131"/>
      <c r="S18" s="131"/>
      <c r="T18" s="132"/>
      <c r="U18" s="160">
        <v>0</v>
      </c>
      <c r="V18" s="133"/>
    </row>
    <row r="19" spans="2:25" ht="20.100000000000001" customHeight="1" thickBot="1" x14ac:dyDescent="0.25">
      <c r="B19" s="73" t="s">
        <v>37</v>
      </c>
      <c r="C19" s="101" t="s">
        <v>17</v>
      </c>
      <c r="D19" s="59" t="s">
        <v>1</v>
      </c>
      <c r="E19" s="44">
        <v>45784</v>
      </c>
      <c r="F19" s="74">
        <v>1000000</v>
      </c>
      <c r="G19" s="136" t="s">
        <v>44</v>
      </c>
      <c r="H19" s="47"/>
      <c r="I19" s="48"/>
      <c r="J19" s="110"/>
      <c r="K19" s="110"/>
      <c r="L19" s="48"/>
      <c r="M19" s="48"/>
      <c r="N19" s="48"/>
      <c r="O19" s="48"/>
      <c r="P19" s="48"/>
      <c r="Q19" s="48"/>
      <c r="R19" s="48"/>
      <c r="S19" s="48"/>
      <c r="T19" s="100"/>
      <c r="U19" s="58">
        <f>SUM(I17:T19)-SUM(F17:F19)</f>
        <v>0</v>
      </c>
      <c r="V19" s="49"/>
    </row>
    <row r="20" spans="2:25" s="1" customFormat="1" ht="15.75" customHeight="1" thickBot="1" x14ac:dyDescent="0.3">
      <c r="B20" s="5"/>
      <c r="F20" s="3"/>
      <c r="G20" s="8"/>
      <c r="H20" s="2"/>
      <c r="I20" s="36"/>
      <c r="J20" s="115"/>
      <c r="K20" s="36"/>
      <c r="L20" s="36"/>
      <c r="M20" s="36"/>
      <c r="N20" s="36"/>
      <c r="O20" s="36"/>
      <c r="P20" s="36"/>
      <c r="Q20" s="36"/>
      <c r="R20" s="36"/>
      <c r="S20" s="36"/>
      <c r="T20" s="67"/>
      <c r="U20" s="3"/>
      <c r="V20" s="4"/>
    </row>
    <row r="21" spans="2:25" ht="20.100000000000001" customHeight="1" thickBot="1" x14ac:dyDescent="0.25">
      <c r="B21" s="61" t="s">
        <v>29</v>
      </c>
      <c r="C21" s="105" t="s">
        <v>51</v>
      </c>
      <c r="D21" s="60" t="s">
        <v>1</v>
      </c>
      <c r="E21" s="39">
        <v>45653</v>
      </c>
      <c r="F21" s="51">
        <v>4000000</v>
      </c>
      <c r="G21" s="55" t="s">
        <v>21</v>
      </c>
      <c r="H21" s="40">
        <v>2025</v>
      </c>
      <c r="I21" s="108">
        <v>675000</v>
      </c>
      <c r="J21" s="108">
        <v>675000</v>
      </c>
      <c r="K21" s="108">
        <v>675000</v>
      </c>
      <c r="L21" s="159">
        <v>675000</v>
      </c>
      <c r="M21" s="159">
        <v>675000</v>
      </c>
      <c r="N21" s="159">
        <v>625000</v>
      </c>
      <c r="O21" s="41"/>
      <c r="P21" s="41"/>
      <c r="Q21" s="41"/>
      <c r="R21" s="41"/>
      <c r="S21" s="41"/>
      <c r="T21" s="80"/>
      <c r="U21" s="50">
        <f>SUM(I21:T21)-SUM(F21:F21)</f>
        <v>0</v>
      </c>
      <c r="V21" s="42"/>
    </row>
    <row r="22" spans="2:25" s="1" customFormat="1" ht="15.75" customHeight="1" thickBot="1" x14ac:dyDescent="0.3">
      <c r="B22" s="5"/>
      <c r="F22" s="3"/>
      <c r="G22" s="8"/>
      <c r="H22" s="2"/>
      <c r="I22" s="81"/>
      <c r="J22" s="115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3"/>
      <c r="V22" s="4"/>
    </row>
    <row r="23" spans="2:25" ht="20.100000000000001" customHeight="1" thickBot="1" x14ac:dyDescent="0.25">
      <c r="B23" s="61" t="s">
        <v>31</v>
      </c>
      <c r="C23" s="105" t="s">
        <v>52</v>
      </c>
      <c r="D23" s="60" t="s">
        <v>4</v>
      </c>
      <c r="E23" s="39">
        <v>45660</v>
      </c>
      <c r="F23" s="51">
        <v>3000000</v>
      </c>
      <c r="G23" s="55" t="s">
        <v>21</v>
      </c>
      <c r="H23" s="40">
        <v>2025</v>
      </c>
      <c r="I23" s="108">
        <v>1000000</v>
      </c>
      <c r="J23" s="108">
        <v>1000000</v>
      </c>
      <c r="K23" s="108">
        <v>1000000</v>
      </c>
      <c r="L23" s="41"/>
      <c r="M23" s="41"/>
      <c r="N23" s="37"/>
      <c r="O23" s="41"/>
      <c r="P23" s="41"/>
      <c r="Q23" s="41"/>
      <c r="R23" s="41"/>
      <c r="S23" s="41"/>
      <c r="T23" s="80"/>
      <c r="U23" s="50">
        <f>SUM(I23:T23)-SUM(F23:F23)</f>
        <v>0</v>
      </c>
      <c r="V23" s="42"/>
    </row>
    <row r="24" spans="2:25" s="1" customFormat="1" ht="15.75" customHeight="1" thickBot="1" x14ac:dyDescent="0.3">
      <c r="B24" s="5"/>
      <c r="F24" s="3"/>
      <c r="G24" s="8"/>
      <c r="H24" s="2"/>
      <c r="I24" s="81"/>
      <c r="J24" s="115"/>
      <c r="K24" s="81"/>
      <c r="L24" s="81"/>
      <c r="M24" s="81"/>
      <c r="N24" s="81"/>
      <c r="O24" s="81"/>
      <c r="P24" s="81"/>
      <c r="Q24" s="81"/>
      <c r="R24" s="81"/>
      <c r="S24" s="81"/>
      <c r="T24" s="82"/>
      <c r="U24" s="3"/>
      <c r="V24" s="4"/>
    </row>
    <row r="25" spans="2:25" ht="20.100000000000001" customHeight="1" thickBot="1" x14ac:dyDescent="0.25">
      <c r="B25" s="61" t="s">
        <v>30</v>
      </c>
      <c r="C25" s="19" t="s">
        <v>53</v>
      </c>
      <c r="D25" s="6" t="s">
        <v>1</v>
      </c>
      <c r="E25" s="14">
        <v>45660</v>
      </c>
      <c r="F25" s="70">
        <v>3000000</v>
      </c>
      <c r="G25" s="71" t="s">
        <v>44</v>
      </c>
      <c r="H25" s="16">
        <v>2025</v>
      </c>
      <c r="I25" s="111">
        <v>750000</v>
      </c>
      <c r="J25" s="111">
        <v>750000</v>
      </c>
      <c r="K25" s="111">
        <v>750000</v>
      </c>
      <c r="L25" s="111">
        <v>750000</v>
      </c>
      <c r="M25" s="111">
        <v>750000</v>
      </c>
      <c r="N25" s="111">
        <v>750000</v>
      </c>
      <c r="O25" s="34">
        <v>750000</v>
      </c>
      <c r="P25" s="34"/>
      <c r="Q25" s="34"/>
      <c r="R25" s="34"/>
      <c r="S25" s="34"/>
      <c r="T25" s="102"/>
      <c r="U25" s="139"/>
      <c r="V25" s="145"/>
    </row>
    <row r="26" spans="2:25" ht="20.100000000000001" customHeight="1" thickBot="1" x14ac:dyDescent="0.25">
      <c r="B26" s="61" t="s">
        <v>30</v>
      </c>
      <c r="C26" s="103" t="s">
        <v>32</v>
      </c>
      <c r="D26" s="83" t="s">
        <v>1</v>
      </c>
      <c r="E26" s="44">
        <v>45701</v>
      </c>
      <c r="F26" s="74">
        <v>3566100</v>
      </c>
      <c r="G26" s="104" t="s">
        <v>44</v>
      </c>
      <c r="H26" s="47">
        <v>2026</v>
      </c>
      <c r="I26" s="48"/>
      <c r="J26" s="110"/>
      <c r="K26" s="110"/>
      <c r="L26" s="48"/>
      <c r="M26" s="48"/>
      <c r="N26" s="48"/>
      <c r="O26" s="48"/>
      <c r="P26" s="48"/>
      <c r="Q26" s="48"/>
      <c r="R26" s="48"/>
      <c r="S26" s="48"/>
      <c r="T26" s="100"/>
      <c r="U26" s="140">
        <f>SUM(I25:T26)-SUM(F25:F26)</f>
        <v>-1316100</v>
      </c>
      <c r="V26" s="49"/>
      <c r="X26" s="11">
        <f>F25+F26</f>
        <v>6566100</v>
      </c>
      <c r="Y26" s="11"/>
    </row>
    <row r="27" spans="2:25" s="1" customFormat="1" ht="15.75" customHeight="1" thickBot="1" x14ac:dyDescent="0.3">
      <c r="B27" s="5"/>
      <c r="F27" s="3"/>
      <c r="G27" s="8"/>
      <c r="H27" s="2"/>
      <c r="I27" s="81"/>
      <c r="J27" s="115"/>
      <c r="K27" s="81"/>
      <c r="L27" s="81"/>
      <c r="M27" s="81"/>
      <c r="N27" s="81"/>
      <c r="O27" s="81"/>
      <c r="P27" s="81"/>
      <c r="Q27" s="81"/>
      <c r="R27" s="81"/>
      <c r="S27" s="81"/>
      <c r="T27" s="82"/>
      <c r="U27" s="3"/>
      <c r="V27" s="4"/>
    </row>
    <row r="28" spans="2:25" ht="20.100000000000001" customHeight="1" thickBot="1" x14ac:dyDescent="0.25">
      <c r="B28" s="68" t="s">
        <v>35</v>
      </c>
      <c r="C28" s="19" t="s">
        <v>54</v>
      </c>
      <c r="D28" s="6" t="s">
        <v>1</v>
      </c>
      <c r="E28" s="14">
        <v>45688</v>
      </c>
      <c r="F28" s="70">
        <v>1500000</v>
      </c>
      <c r="G28" s="71"/>
      <c r="H28" s="16">
        <v>2025</v>
      </c>
      <c r="I28" s="34"/>
      <c r="J28" s="111">
        <v>500000</v>
      </c>
      <c r="K28" s="111">
        <v>500000</v>
      </c>
      <c r="L28" s="111">
        <v>500000</v>
      </c>
      <c r="M28" s="111">
        <v>500000</v>
      </c>
      <c r="N28" s="111">
        <v>500000</v>
      </c>
      <c r="O28" s="34"/>
      <c r="P28" s="34"/>
      <c r="Q28" s="34"/>
      <c r="R28" s="34"/>
      <c r="S28" s="34"/>
      <c r="T28" s="102"/>
      <c r="U28" s="53"/>
      <c r="V28" s="17"/>
    </row>
    <row r="29" spans="2:25" ht="20.100000000000001" customHeight="1" thickBot="1" x14ac:dyDescent="0.25">
      <c r="B29" s="68" t="s">
        <v>35</v>
      </c>
      <c r="C29" s="103" t="s">
        <v>36</v>
      </c>
      <c r="D29" s="83" t="s">
        <v>1</v>
      </c>
      <c r="E29" s="44">
        <v>45772</v>
      </c>
      <c r="F29" s="74">
        <v>1000000</v>
      </c>
      <c r="G29" s="75" t="s">
        <v>41</v>
      </c>
      <c r="H29" s="47">
        <v>2026</v>
      </c>
      <c r="I29" s="48"/>
      <c r="J29" s="110"/>
      <c r="K29" s="110"/>
      <c r="L29" s="48"/>
      <c r="M29" s="48"/>
      <c r="N29" s="48"/>
      <c r="O29" s="48"/>
      <c r="P29" s="48"/>
      <c r="Q29" s="48"/>
      <c r="R29" s="48"/>
      <c r="S29" s="48"/>
      <c r="T29" s="100"/>
      <c r="U29" s="58">
        <f>SUM(I28:T29)-SUM(F28:F29)</f>
        <v>0</v>
      </c>
      <c r="V29" s="49"/>
    </row>
    <row r="30" spans="2:25" s="1" customFormat="1" ht="15.75" customHeight="1" thickBot="1" x14ac:dyDescent="0.3">
      <c r="B30" s="5"/>
      <c r="F30" s="3"/>
      <c r="G30" s="8"/>
      <c r="H30" s="2"/>
      <c r="I30" s="81"/>
      <c r="J30" s="115"/>
      <c r="K30" s="81"/>
      <c r="L30" s="81"/>
      <c r="M30" s="81"/>
      <c r="N30" s="81"/>
      <c r="O30" s="81"/>
      <c r="P30" s="81"/>
      <c r="Q30" s="81"/>
      <c r="R30" s="81"/>
      <c r="S30" s="81"/>
      <c r="T30" s="82"/>
      <c r="U30" s="3"/>
      <c r="V30" s="4"/>
    </row>
    <row r="31" spans="2:25" ht="20.100000000000001" customHeight="1" thickBot="1" x14ac:dyDescent="0.25">
      <c r="B31" s="61" t="s">
        <v>38</v>
      </c>
      <c r="C31" s="31" t="s">
        <v>55</v>
      </c>
      <c r="D31" s="38" t="s">
        <v>1</v>
      </c>
      <c r="E31" s="39">
        <v>45692</v>
      </c>
      <c r="F31" s="51">
        <v>3000000</v>
      </c>
      <c r="G31" s="55" t="s">
        <v>44</v>
      </c>
      <c r="H31" s="40">
        <v>2025</v>
      </c>
      <c r="I31" s="41"/>
      <c r="J31" s="108">
        <v>500000</v>
      </c>
      <c r="K31" s="108">
        <v>500000</v>
      </c>
      <c r="L31" s="108">
        <v>500000</v>
      </c>
      <c r="M31" s="108">
        <v>500000</v>
      </c>
      <c r="N31" s="111">
        <v>500000</v>
      </c>
      <c r="O31" s="41">
        <v>500000</v>
      </c>
      <c r="P31" s="41"/>
      <c r="Q31" s="41"/>
      <c r="R31" s="41"/>
      <c r="S31" s="41"/>
      <c r="T31" s="80"/>
      <c r="U31" s="141">
        <f>SUM(I31:T31)-SUM(F31:F31)</f>
        <v>0</v>
      </c>
      <c r="V31" s="42"/>
    </row>
    <row r="32" spans="2:25" s="1" customFormat="1" ht="15.75" customHeight="1" thickBot="1" x14ac:dyDescent="0.3">
      <c r="B32" s="5"/>
      <c r="F32" s="3"/>
      <c r="G32" s="8"/>
      <c r="H32" s="2"/>
      <c r="I32" s="81"/>
      <c r="J32" s="115"/>
      <c r="K32" s="81"/>
      <c r="L32" s="81"/>
      <c r="M32" s="81"/>
      <c r="N32" s="81"/>
      <c r="O32" s="81"/>
      <c r="P32" s="81"/>
      <c r="Q32" s="81"/>
      <c r="R32" s="81"/>
      <c r="S32" s="81"/>
      <c r="T32" s="82"/>
      <c r="U32" s="3"/>
      <c r="V32" s="4"/>
    </row>
    <row r="33" spans="2:22" ht="20.100000000000001" customHeight="1" thickBot="1" x14ac:dyDescent="0.25">
      <c r="B33" s="61" t="s">
        <v>38</v>
      </c>
      <c r="C33" s="31" t="s">
        <v>39</v>
      </c>
      <c r="D33" s="38" t="s">
        <v>40</v>
      </c>
      <c r="E33" s="39">
        <v>45702</v>
      </c>
      <c r="F33" s="51">
        <v>875000</v>
      </c>
      <c r="G33" s="106" t="s">
        <v>44</v>
      </c>
      <c r="H33" s="40">
        <v>2025</v>
      </c>
      <c r="I33" s="41"/>
      <c r="J33" s="108">
        <v>100000</v>
      </c>
      <c r="K33" s="108">
        <v>100000</v>
      </c>
      <c r="L33" s="108">
        <v>100000</v>
      </c>
      <c r="M33" s="108">
        <v>100000</v>
      </c>
      <c r="N33" s="111">
        <v>100000</v>
      </c>
      <c r="O33" s="41">
        <v>100000</v>
      </c>
      <c r="P33" s="41"/>
      <c r="Q33" s="41"/>
      <c r="R33" s="41"/>
      <c r="S33" s="41"/>
      <c r="T33" s="80"/>
      <c r="U33" s="141">
        <f>SUM(I33:T33)-SUM(F33:F33)</f>
        <v>-275000</v>
      </c>
      <c r="V33" s="42"/>
    </row>
    <row r="34" spans="2:22" s="1" customFormat="1" ht="15.75" customHeight="1" thickBot="1" x14ac:dyDescent="0.3">
      <c r="B34" s="5"/>
      <c r="F34" s="3"/>
      <c r="G34" s="8"/>
      <c r="H34" s="2"/>
      <c r="I34" s="81"/>
      <c r="J34" s="115"/>
      <c r="K34" s="81"/>
      <c r="L34" s="81"/>
      <c r="M34" s="81"/>
      <c r="N34" s="81"/>
      <c r="O34" s="81"/>
      <c r="P34" s="81"/>
      <c r="Q34" s="81"/>
      <c r="R34" s="81"/>
      <c r="S34" s="81"/>
      <c r="T34" s="82"/>
      <c r="U34" s="3"/>
      <c r="V34" s="4"/>
    </row>
    <row r="35" spans="2:22" ht="20.100000000000001" customHeight="1" thickBot="1" x14ac:dyDescent="0.25">
      <c r="B35" s="84" t="s">
        <v>33</v>
      </c>
      <c r="C35" s="85" t="s">
        <v>56</v>
      </c>
      <c r="D35" s="86" t="s">
        <v>23</v>
      </c>
      <c r="E35" s="14">
        <v>45455</v>
      </c>
      <c r="F35" s="70">
        <v>2000000</v>
      </c>
      <c r="G35" s="71" t="s">
        <v>44</v>
      </c>
      <c r="H35" s="16">
        <v>2024</v>
      </c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57">
        <v>1000000</v>
      </c>
      <c r="T35" s="63">
        <v>1000000</v>
      </c>
      <c r="U35" s="139"/>
      <c r="V35" s="17"/>
    </row>
    <row r="36" spans="2:22" ht="20.100000000000001" customHeight="1" x14ac:dyDescent="0.2">
      <c r="B36" s="87" t="s">
        <v>22</v>
      </c>
      <c r="C36" s="146" t="s">
        <v>56</v>
      </c>
      <c r="D36" s="88" t="s">
        <v>23</v>
      </c>
      <c r="E36" s="89">
        <v>45590</v>
      </c>
      <c r="F36" s="90">
        <v>2000000</v>
      </c>
      <c r="G36" s="91" t="s">
        <v>44</v>
      </c>
      <c r="H36" s="92">
        <v>2025</v>
      </c>
      <c r="I36" s="112">
        <v>0</v>
      </c>
      <c r="J36" s="112">
        <v>1000000</v>
      </c>
      <c r="K36" s="112">
        <v>1000000</v>
      </c>
      <c r="L36" s="93">
        <v>0</v>
      </c>
      <c r="M36" s="111">
        <f>1000000</f>
        <v>1000000</v>
      </c>
      <c r="N36" s="111">
        <f>334000+1500000</f>
        <v>1834000</v>
      </c>
      <c r="O36" s="161">
        <v>1500000</v>
      </c>
      <c r="P36" s="93"/>
      <c r="Q36" s="93"/>
      <c r="R36" s="93"/>
      <c r="S36" s="93"/>
      <c r="T36" s="94"/>
      <c r="U36" s="143"/>
      <c r="V36" s="95"/>
    </row>
    <row r="37" spans="2:22" ht="20.100000000000001" customHeight="1" x14ac:dyDescent="0.2">
      <c r="B37" s="147" t="s">
        <v>22</v>
      </c>
      <c r="C37" s="148" t="s">
        <v>56</v>
      </c>
      <c r="D37" s="149" t="s">
        <v>23</v>
      </c>
      <c r="E37" s="150">
        <v>45645</v>
      </c>
      <c r="F37" s="151">
        <v>1334000</v>
      </c>
      <c r="G37" s="152" t="s">
        <v>44</v>
      </c>
      <c r="H37" s="153">
        <v>2026</v>
      </c>
      <c r="I37" s="154"/>
      <c r="J37" s="154"/>
      <c r="K37" s="154"/>
      <c r="L37" s="155"/>
      <c r="M37" s="130"/>
      <c r="N37" s="130"/>
      <c r="O37" s="155"/>
      <c r="P37" s="155"/>
      <c r="Q37" s="155"/>
      <c r="R37" s="155"/>
      <c r="S37" s="155"/>
      <c r="T37" s="156"/>
      <c r="U37" s="157">
        <v>0</v>
      </c>
      <c r="V37" s="158"/>
    </row>
    <row r="38" spans="2:22" ht="20.100000000000001" customHeight="1" thickBot="1" x14ac:dyDescent="0.25">
      <c r="B38" s="96" t="s">
        <v>22</v>
      </c>
      <c r="C38" s="97" t="s">
        <v>2</v>
      </c>
      <c r="D38" s="98" t="s">
        <v>43</v>
      </c>
      <c r="E38" s="44">
        <v>45843</v>
      </c>
      <c r="F38" s="74">
        <v>3000000</v>
      </c>
      <c r="G38" s="75" t="s">
        <v>44</v>
      </c>
      <c r="H38" s="47">
        <v>2027</v>
      </c>
      <c r="I38" s="99"/>
      <c r="J38" s="110"/>
      <c r="K38" s="110"/>
      <c r="L38" s="99"/>
      <c r="M38" s="99"/>
      <c r="N38" s="99"/>
      <c r="O38" s="99"/>
      <c r="P38" s="99"/>
      <c r="Q38" s="99"/>
      <c r="R38" s="99"/>
      <c r="S38" s="99"/>
      <c r="T38" s="65"/>
      <c r="U38" s="140">
        <f>SUM(I35:T38)-SUM(F35:F38)</f>
        <v>0</v>
      </c>
      <c r="V38" s="49"/>
    </row>
    <row r="39" spans="2:22" s="1" customFormat="1" ht="15.75" customHeight="1" thickBot="1" x14ac:dyDescent="0.3">
      <c r="B39" s="5"/>
      <c r="F39" s="3"/>
      <c r="G39" s="8"/>
      <c r="H39" s="2"/>
      <c r="I39" s="81"/>
      <c r="J39" s="115"/>
      <c r="K39" s="81"/>
      <c r="L39" s="81"/>
      <c r="M39" s="81"/>
      <c r="N39" s="81"/>
      <c r="O39" s="81"/>
      <c r="P39" s="81"/>
      <c r="Q39" s="81"/>
      <c r="R39" s="81"/>
      <c r="S39" s="81"/>
      <c r="T39" s="82"/>
      <c r="U39" s="3"/>
      <c r="V39" s="4"/>
    </row>
    <row r="40" spans="2:22" ht="20.100000000000001" customHeight="1" thickBot="1" x14ac:dyDescent="0.25">
      <c r="B40" s="13" t="s">
        <v>28</v>
      </c>
      <c r="C40" s="6" t="s">
        <v>57</v>
      </c>
      <c r="D40" s="6" t="s">
        <v>4</v>
      </c>
      <c r="E40" s="14">
        <v>45619</v>
      </c>
      <c r="F40" s="70">
        <v>11000000</v>
      </c>
      <c r="G40" s="78" t="s">
        <v>44</v>
      </c>
      <c r="H40" s="16">
        <v>2024</v>
      </c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63">
        <v>750000</v>
      </c>
      <c r="T40" s="63">
        <v>750000</v>
      </c>
      <c r="U40" s="139"/>
      <c r="V40" s="17"/>
    </row>
    <row r="41" spans="2:22" ht="20.100000000000001" customHeight="1" thickBot="1" x14ac:dyDescent="0.25">
      <c r="B41" s="43"/>
      <c r="C41" s="46" t="s">
        <v>57</v>
      </c>
      <c r="D41" s="83" t="s">
        <v>4</v>
      </c>
      <c r="E41" s="44"/>
      <c r="F41" s="74"/>
      <c r="G41" s="79"/>
      <c r="H41" s="47">
        <v>2025</v>
      </c>
      <c r="I41" s="110">
        <v>750000</v>
      </c>
      <c r="J41" s="110">
        <v>750000</v>
      </c>
      <c r="K41" s="110">
        <v>750000</v>
      </c>
      <c r="L41" s="110">
        <v>750000</v>
      </c>
      <c r="M41" s="110">
        <v>750000</v>
      </c>
      <c r="N41" s="111">
        <v>750000</v>
      </c>
      <c r="O41" s="110">
        <v>750000</v>
      </c>
      <c r="P41" s="110"/>
      <c r="Q41" s="110"/>
      <c r="R41" s="110"/>
      <c r="S41" s="110"/>
      <c r="T41" s="110"/>
      <c r="U41" s="144">
        <f>SUM(I40:T41)-SUM(F40:F41)</f>
        <v>-4250000</v>
      </c>
      <c r="V41" s="49"/>
    </row>
    <row r="42" spans="2:22" s="1" customFormat="1" ht="15.75" customHeight="1" thickBot="1" x14ac:dyDescent="0.3">
      <c r="B42" s="5"/>
      <c r="F42" s="3"/>
      <c r="G42" s="8"/>
      <c r="H42" s="2"/>
      <c r="I42" s="81"/>
      <c r="J42" s="115"/>
      <c r="K42" s="81"/>
      <c r="L42" s="81"/>
      <c r="M42" s="81"/>
      <c r="N42" s="81"/>
      <c r="O42" s="81"/>
      <c r="P42" s="81"/>
      <c r="Q42" s="81"/>
      <c r="R42" s="81"/>
      <c r="S42" s="81"/>
      <c r="T42" s="82"/>
      <c r="U42" s="3"/>
      <c r="V42" s="4"/>
    </row>
    <row r="43" spans="2:22" s="9" customFormat="1" ht="23.25" customHeight="1" thickBot="1" x14ac:dyDescent="0.25">
      <c r="B43" s="24" t="s">
        <v>18</v>
      </c>
      <c r="C43" s="113" t="s">
        <v>58</v>
      </c>
      <c r="D43" s="38" t="s">
        <v>1</v>
      </c>
      <c r="E43" s="20">
        <v>45768</v>
      </c>
      <c r="F43" s="18">
        <v>2000000</v>
      </c>
      <c r="G43" s="21" t="s">
        <v>44</v>
      </c>
      <c r="H43" s="22">
        <v>2025</v>
      </c>
      <c r="I43" s="35"/>
      <c r="J43" s="35"/>
      <c r="K43" s="109"/>
      <c r="L43" s="111">
        <v>500000</v>
      </c>
      <c r="M43" s="111">
        <v>500000</v>
      </c>
      <c r="N43" s="111">
        <v>500000</v>
      </c>
      <c r="O43" s="35">
        <v>500000</v>
      </c>
      <c r="P43" s="35"/>
      <c r="Q43" s="35"/>
      <c r="R43" s="35"/>
      <c r="S43" s="35"/>
      <c r="T43" s="64"/>
      <c r="U43" s="142">
        <f>SUM(I43:T43)-SUM(F43:F43)</f>
        <v>0</v>
      </c>
      <c r="V43" s="23"/>
    </row>
    <row r="44" spans="2:22" s="1" customFormat="1" ht="15.75" customHeight="1" thickBot="1" x14ac:dyDescent="0.3">
      <c r="B44" s="5"/>
      <c r="F44" s="3"/>
      <c r="G44" s="8"/>
      <c r="H44" s="2"/>
      <c r="I44" s="81"/>
      <c r="J44" s="115"/>
      <c r="K44" s="81"/>
      <c r="L44" s="81"/>
      <c r="M44" s="81"/>
      <c r="N44" s="81"/>
      <c r="O44" s="81"/>
      <c r="P44" s="81"/>
      <c r="Q44" s="81"/>
      <c r="R44" s="81"/>
      <c r="S44" s="81"/>
      <c r="T44" s="82"/>
      <c r="U44" s="3"/>
      <c r="V44" s="4"/>
    </row>
    <row r="45" spans="2:22" s="9" customFormat="1" ht="23.25" customHeight="1" thickBot="1" x14ac:dyDescent="0.25">
      <c r="B45" s="24"/>
      <c r="C45" s="113" t="s">
        <v>20</v>
      </c>
      <c r="D45" s="38" t="s">
        <v>1</v>
      </c>
      <c r="E45" s="20">
        <v>45784</v>
      </c>
      <c r="F45" s="18">
        <v>2000000</v>
      </c>
      <c r="G45" s="21" t="s">
        <v>44</v>
      </c>
      <c r="H45" s="22">
        <v>2025</v>
      </c>
      <c r="I45" s="35"/>
      <c r="J45" s="35"/>
      <c r="K45" s="109"/>
      <c r="L45" s="35"/>
      <c r="M45" s="111">
        <v>650000</v>
      </c>
      <c r="N45" s="111">
        <v>650000</v>
      </c>
      <c r="O45" s="35">
        <v>700000</v>
      </c>
      <c r="P45" s="35"/>
      <c r="Q45" s="35"/>
      <c r="R45" s="35"/>
      <c r="S45" s="35"/>
      <c r="T45" s="64"/>
      <c r="U45" s="142">
        <f>SUM(I44:T45)-SUM(F44:F45)</f>
        <v>0</v>
      </c>
      <c r="V45" s="23"/>
    </row>
    <row r="46" spans="2:22" s="1" customFormat="1" ht="15.75" customHeight="1" thickBot="1" x14ac:dyDescent="0.3">
      <c r="B46" s="5"/>
      <c r="F46" s="3"/>
      <c r="G46" s="8"/>
      <c r="H46" s="2"/>
      <c r="I46" s="81"/>
      <c r="J46" s="115"/>
      <c r="K46" s="81"/>
      <c r="L46" s="81"/>
      <c r="M46" s="81"/>
      <c r="N46" s="81"/>
      <c r="O46" s="81"/>
      <c r="P46" s="81"/>
      <c r="Q46" s="81"/>
      <c r="R46" s="81"/>
      <c r="S46" s="81"/>
      <c r="T46" s="82"/>
      <c r="U46" s="3"/>
      <c r="V46" s="4"/>
    </row>
    <row r="47" spans="2:22" s="9" customFormat="1" ht="23.25" customHeight="1" thickBot="1" x14ac:dyDescent="0.25">
      <c r="B47" s="24"/>
      <c r="C47" s="113" t="s">
        <v>59</v>
      </c>
      <c r="D47" s="38" t="s">
        <v>1</v>
      </c>
      <c r="E47" s="20">
        <v>45784</v>
      </c>
      <c r="F47" s="18">
        <v>1500000</v>
      </c>
      <c r="G47" s="21" t="s">
        <v>44</v>
      </c>
      <c r="H47" s="22">
        <v>2025</v>
      </c>
      <c r="I47" s="35"/>
      <c r="J47" s="35"/>
      <c r="K47" s="109"/>
      <c r="L47" s="35"/>
      <c r="M47" s="111">
        <v>500000</v>
      </c>
      <c r="N47" s="111">
        <v>500000</v>
      </c>
      <c r="O47" s="35">
        <v>500000</v>
      </c>
      <c r="P47" s="35"/>
      <c r="Q47" s="35"/>
      <c r="R47" s="35"/>
      <c r="S47" s="35"/>
      <c r="T47" s="64"/>
      <c r="U47" s="142">
        <f>SUM(I46:T47)-SUM(F46:F47)</f>
        <v>0</v>
      </c>
      <c r="V47" s="23"/>
    </row>
    <row r="48" spans="2:22" s="1" customFormat="1" ht="15.75" customHeight="1" thickBot="1" x14ac:dyDescent="0.3">
      <c r="B48" s="5"/>
      <c r="F48" s="3"/>
      <c r="G48" s="8"/>
      <c r="H48" s="2"/>
      <c r="I48" s="81"/>
      <c r="J48" s="115"/>
      <c r="K48" s="81"/>
      <c r="L48" s="81"/>
      <c r="M48" s="81"/>
      <c r="N48" s="81"/>
      <c r="O48" s="81"/>
      <c r="P48" s="81"/>
      <c r="Q48" s="81"/>
      <c r="R48" s="81"/>
      <c r="S48" s="81"/>
      <c r="T48" s="82"/>
      <c r="U48" s="3"/>
      <c r="V48" s="4"/>
    </row>
    <row r="49" spans="2:22" s="9" customFormat="1" ht="23.25" customHeight="1" thickBot="1" x14ac:dyDescent="0.25">
      <c r="B49" s="24"/>
      <c r="C49" s="113" t="s">
        <v>60</v>
      </c>
      <c r="D49" s="38" t="s">
        <v>1</v>
      </c>
      <c r="E49" s="20">
        <v>45784</v>
      </c>
      <c r="F49" s="18">
        <v>4000000</v>
      </c>
      <c r="G49" s="21" t="s">
        <v>44</v>
      </c>
      <c r="H49" s="22">
        <v>2025</v>
      </c>
      <c r="I49" s="35"/>
      <c r="J49" s="35"/>
      <c r="K49" s="109"/>
      <c r="L49" s="35"/>
      <c r="M49" s="111">
        <v>1000000</v>
      </c>
      <c r="N49" s="111">
        <v>1000000</v>
      </c>
      <c r="O49" s="35">
        <v>1000000</v>
      </c>
      <c r="P49" s="35"/>
      <c r="Q49" s="35"/>
      <c r="R49" s="35"/>
      <c r="S49" s="35"/>
      <c r="T49" s="64"/>
      <c r="U49" s="142">
        <f>SUM(I48:T49)-SUM(F48:F49)</f>
        <v>-1000000</v>
      </c>
      <c r="V49" s="23"/>
    </row>
    <row r="50" spans="2:22" s="1" customFormat="1" ht="15.75" customHeight="1" thickBot="1" x14ac:dyDescent="0.3">
      <c r="B50" s="5"/>
      <c r="F50" s="3"/>
      <c r="G50" s="8"/>
      <c r="H50" s="2"/>
      <c r="I50" s="81"/>
      <c r="J50" s="115"/>
      <c r="K50" s="81"/>
      <c r="L50" s="81"/>
      <c r="M50" s="81"/>
      <c r="N50" s="81"/>
      <c r="O50" s="81"/>
      <c r="P50" s="81"/>
      <c r="Q50" s="81"/>
      <c r="R50" s="81"/>
      <c r="S50" s="81"/>
      <c r="T50" s="82"/>
      <c r="U50" s="3"/>
      <c r="V50" s="4"/>
    </row>
    <row r="51" spans="2:22" s="9" customFormat="1" ht="23.25" customHeight="1" thickBot="1" x14ac:dyDescent="0.25">
      <c r="B51" s="24"/>
      <c r="C51" s="113" t="s">
        <v>61</v>
      </c>
      <c r="D51" s="38" t="s">
        <v>42</v>
      </c>
      <c r="E51" s="20">
        <v>45788</v>
      </c>
      <c r="F51" s="18">
        <v>1000000</v>
      </c>
      <c r="G51" s="21" t="s">
        <v>44</v>
      </c>
      <c r="H51" s="22">
        <v>2025</v>
      </c>
      <c r="I51" s="35"/>
      <c r="J51" s="35"/>
      <c r="K51" s="109"/>
      <c r="L51" s="35">
        <v>1000000</v>
      </c>
      <c r="M51" s="35"/>
      <c r="N51" s="35"/>
      <c r="O51" s="35"/>
      <c r="P51" s="35"/>
      <c r="Q51" s="35"/>
      <c r="R51" s="35"/>
      <c r="S51" s="35"/>
      <c r="T51" s="64"/>
      <c r="U51" s="53">
        <f>SUM(I50:T51)-SUM(F50:F51)</f>
        <v>0</v>
      </c>
      <c r="V51" s="23"/>
    </row>
    <row r="52" spans="2:22" s="1" customFormat="1" ht="15.75" customHeight="1" thickBot="1" x14ac:dyDescent="0.3">
      <c r="B52" s="5"/>
      <c r="F52" s="3"/>
      <c r="G52" s="8"/>
      <c r="H52" s="2"/>
      <c r="I52" s="81"/>
      <c r="J52" s="115"/>
      <c r="K52" s="81"/>
      <c r="L52" s="81"/>
      <c r="M52" s="81"/>
      <c r="N52" s="81"/>
      <c r="O52" s="81"/>
      <c r="P52" s="81"/>
      <c r="Q52" s="81"/>
      <c r="R52" s="81"/>
      <c r="S52" s="81"/>
      <c r="T52" s="82"/>
      <c r="U52" s="3"/>
      <c r="V52" s="4"/>
    </row>
    <row r="53" spans="2:22" s="9" customFormat="1" ht="23.25" customHeight="1" thickBot="1" x14ac:dyDescent="0.25">
      <c r="B53" s="24"/>
      <c r="C53" s="113" t="s">
        <v>62</v>
      </c>
      <c r="D53" s="38" t="s">
        <v>42</v>
      </c>
      <c r="E53" s="20">
        <v>45797</v>
      </c>
      <c r="F53" s="18">
        <v>5000000</v>
      </c>
      <c r="G53" s="21" t="s">
        <v>44</v>
      </c>
      <c r="H53" s="22">
        <v>2025</v>
      </c>
      <c r="I53" s="35"/>
      <c r="J53" s="35"/>
      <c r="K53" s="109"/>
      <c r="L53" s="35"/>
      <c r="M53" s="35"/>
      <c r="N53" s="111">
        <v>5000000</v>
      </c>
      <c r="O53" s="35"/>
      <c r="P53" s="35"/>
      <c r="Q53" s="35"/>
      <c r="R53" s="35"/>
      <c r="S53" s="35"/>
      <c r="T53" s="64"/>
      <c r="U53" s="138">
        <f>SUM(I52:T53)-SUM(F52:F53)</f>
        <v>0</v>
      </c>
      <c r="V53" s="23"/>
    </row>
    <row r="54" spans="2:22" s="1" customFormat="1" ht="15.75" customHeight="1" x14ac:dyDescent="0.25">
      <c r="B54" s="5"/>
      <c r="F54" s="3"/>
      <c r="G54" s="8"/>
      <c r="H54" s="2"/>
      <c r="I54" s="81"/>
      <c r="J54" s="115"/>
      <c r="K54" s="81"/>
      <c r="L54" s="81"/>
      <c r="M54" s="81"/>
      <c r="N54" s="81"/>
      <c r="O54" s="81"/>
      <c r="P54" s="81"/>
      <c r="Q54" s="81"/>
      <c r="R54" s="81"/>
      <c r="S54" s="81"/>
      <c r="T54" s="82"/>
      <c r="U54" s="3"/>
      <c r="V54" s="4"/>
    </row>
    <row r="55" spans="2:22" s="1" customFormat="1" ht="15.75" customHeight="1" x14ac:dyDescent="0.25">
      <c r="B55" s="5"/>
      <c r="F55" s="3"/>
      <c r="G55" s="8"/>
      <c r="H55" s="2"/>
      <c r="I55" s="36"/>
      <c r="J55" s="115"/>
      <c r="K55" s="36"/>
      <c r="L55" s="36"/>
      <c r="M55" s="36"/>
      <c r="N55" s="36"/>
      <c r="O55" s="36"/>
      <c r="P55" s="36"/>
      <c r="Q55" s="36"/>
      <c r="R55" s="36"/>
      <c r="S55" s="36"/>
      <c r="T55" s="67"/>
      <c r="U55" s="3"/>
      <c r="V55" s="4"/>
    </row>
    <row r="56" spans="2:22" x14ac:dyDescent="0.2">
      <c r="J56" s="114"/>
      <c r="U56" s="25"/>
    </row>
    <row r="57" spans="2:22" x14ac:dyDescent="0.2">
      <c r="J57" s="114"/>
      <c r="U57" s="25"/>
    </row>
    <row r="58" spans="2:22" x14ac:dyDescent="0.2">
      <c r="J58" s="114"/>
      <c r="U58" s="25"/>
    </row>
    <row r="59" spans="2:22" x14ac:dyDescent="0.2">
      <c r="J59" s="114"/>
      <c r="U59" s="25"/>
    </row>
    <row r="60" spans="2:22" x14ac:dyDescent="0.2">
      <c r="J60" s="114"/>
      <c r="U60" s="25"/>
    </row>
    <row r="61" spans="2:22" x14ac:dyDescent="0.2">
      <c r="J61" s="114"/>
      <c r="U61" s="25"/>
    </row>
    <row r="62" spans="2:22" x14ac:dyDescent="0.2">
      <c r="J62" s="114"/>
      <c r="U62" s="25"/>
    </row>
    <row r="63" spans="2:22" x14ac:dyDescent="0.2">
      <c r="J63" s="114"/>
      <c r="U63" s="25"/>
    </row>
    <row r="64" spans="2:22" x14ac:dyDescent="0.2">
      <c r="J64" s="114"/>
      <c r="U64" s="25"/>
    </row>
    <row r="65" spans="10:21" x14ac:dyDescent="0.2">
      <c r="J65" s="114"/>
      <c r="U65" s="25"/>
    </row>
    <row r="66" spans="10:21" x14ac:dyDescent="0.2">
      <c r="J66" s="114"/>
      <c r="U66" s="25"/>
    </row>
    <row r="67" spans="10:21" x14ac:dyDescent="0.2">
      <c r="J67" s="114"/>
      <c r="U67" s="25"/>
    </row>
    <row r="68" spans="10:21" x14ac:dyDescent="0.2">
      <c r="J68" s="114"/>
      <c r="U68" s="25"/>
    </row>
    <row r="69" spans="10:21" x14ac:dyDescent="0.2">
      <c r="J69" s="114"/>
      <c r="U69" s="25"/>
    </row>
    <row r="70" spans="10:21" x14ac:dyDescent="0.2">
      <c r="J70" s="114"/>
      <c r="U70" s="25"/>
    </row>
    <row r="71" spans="10:21" x14ac:dyDescent="0.2">
      <c r="J71" s="114"/>
      <c r="U71" s="25"/>
    </row>
    <row r="72" spans="10:21" x14ac:dyDescent="0.2">
      <c r="J72" s="114"/>
      <c r="U72" s="25"/>
    </row>
    <row r="73" spans="10:21" x14ac:dyDescent="0.2">
      <c r="J73" s="114"/>
      <c r="U73" s="25"/>
    </row>
    <row r="74" spans="10:21" x14ac:dyDescent="0.2">
      <c r="J74" s="114"/>
      <c r="U74" s="25"/>
    </row>
    <row r="75" spans="10:21" x14ac:dyDescent="0.2">
      <c r="J75" s="114"/>
      <c r="U75" s="25"/>
    </row>
    <row r="76" spans="10:21" x14ac:dyDescent="0.2">
      <c r="J76" s="114"/>
      <c r="U76" s="25"/>
    </row>
    <row r="77" spans="10:21" x14ac:dyDescent="0.2">
      <c r="J77" s="114"/>
      <c r="U77" s="25"/>
    </row>
    <row r="78" spans="10:21" x14ac:dyDescent="0.2">
      <c r="J78" s="114"/>
      <c r="U78" s="25"/>
    </row>
    <row r="79" spans="10:21" x14ac:dyDescent="0.2">
      <c r="J79" s="114"/>
      <c r="U79" s="25"/>
    </row>
    <row r="80" spans="10:21" x14ac:dyDescent="0.2">
      <c r="J80" s="114"/>
      <c r="U80" s="25"/>
    </row>
    <row r="81" spans="10:21" x14ac:dyDescent="0.2">
      <c r="J81" s="114"/>
      <c r="U81" s="25"/>
    </row>
    <row r="82" spans="10:21" x14ac:dyDescent="0.2">
      <c r="J82" s="114"/>
      <c r="U82" s="25"/>
    </row>
    <row r="83" spans="10:21" x14ac:dyDescent="0.2">
      <c r="U83" s="25"/>
    </row>
    <row r="84" spans="10:21" x14ac:dyDescent="0.2">
      <c r="U84" s="25"/>
    </row>
    <row r="85" spans="10:21" x14ac:dyDescent="0.2">
      <c r="U85" s="25"/>
    </row>
    <row r="86" spans="10:21" x14ac:dyDescent="0.2">
      <c r="U86" s="25"/>
    </row>
    <row r="87" spans="10:21" x14ac:dyDescent="0.2">
      <c r="U87" s="25"/>
    </row>
    <row r="88" spans="10:21" x14ac:dyDescent="0.2">
      <c r="U88" s="25"/>
    </row>
    <row r="89" spans="10:21" x14ac:dyDescent="0.2">
      <c r="U89" s="25"/>
    </row>
    <row r="90" spans="10:21" x14ac:dyDescent="0.2">
      <c r="U90" s="25"/>
    </row>
    <row r="91" spans="10:21" x14ac:dyDescent="0.2">
      <c r="U91" s="25"/>
    </row>
    <row r="92" spans="10:21" x14ac:dyDescent="0.2">
      <c r="U92" s="25"/>
    </row>
    <row r="93" spans="10:21" x14ac:dyDescent="0.2">
      <c r="U93" s="25"/>
    </row>
    <row r="94" spans="10:21" x14ac:dyDescent="0.2">
      <c r="U94" s="25"/>
    </row>
    <row r="95" spans="10:21" x14ac:dyDescent="0.2">
      <c r="U95" s="25"/>
    </row>
    <row r="96" spans="10:21" x14ac:dyDescent="0.2">
      <c r="U96" s="25"/>
    </row>
    <row r="97" spans="21:21" x14ac:dyDescent="0.2">
      <c r="U97" s="25"/>
    </row>
    <row r="98" spans="21:21" x14ac:dyDescent="0.2">
      <c r="U98" s="25"/>
    </row>
    <row r="99" spans="21:21" x14ac:dyDescent="0.2">
      <c r="U99" s="25"/>
    </row>
    <row r="100" spans="21:21" x14ac:dyDescent="0.2">
      <c r="U100" s="25"/>
    </row>
    <row r="101" spans="21:21" x14ac:dyDescent="0.2">
      <c r="U101" s="25"/>
    </row>
    <row r="102" spans="21:21" x14ac:dyDescent="0.2">
      <c r="U102" s="25"/>
    </row>
    <row r="103" spans="21:21" x14ac:dyDescent="0.2">
      <c r="U103" s="25"/>
    </row>
    <row r="104" spans="21:21" x14ac:dyDescent="0.2">
      <c r="U104" s="25"/>
    </row>
    <row r="105" spans="21:21" x14ac:dyDescent="0.2">
      <c r="U105" s="25"/>
    </row>
    <row r="106" spans="21:21" x14ac:dyDescent="0.2">
      <c r="U106" s="25"/>
    </row>
    <row r="107" spans="21:21" x14ac:dyDescent="0.2">
      <c r="U107" s="25"/>
    </row>
    <row r="108" spans="21:21" x14ac:dyDescent="0.2">
      <c r="U108" s="25"/>
    </row>
    <row r="109" spans="21:21" x14ac:dyDescent="0.2">
      <c r="U109" s="25"/>
    </row>
    <row r="110" spans="21:21" x14ac:dyDescent="0.2">
      <c r="U110" s="25"/>
    </row>
    <row r="111" spans="21:21" x14ac:dyDescent="0.2">
      <c r="U111" s="25"/>
    </row>
    <row r="112" spans="21:21" x14ac:dyDescent="0.2">
      <c r="U112" s="25"/>
    </row>
    <row r="113" spans="21:21" x14ac:dyDescent="0.2">
      <c r="U113" s="25"/>
    </row>
    <row r="114" spans="21:21" x14ac:dyDescent="0.2">
      <c r="U114" s="25"/>
    </row>
    <row r="115" spans="21:21" x14ac:dyDescent="0.2">
      <c r="U115" s="25"/>
    </row>
    <row r="116" spans="21:21" x14ac:dyDescent="0.2">
      <c r="U116" s="25"/>
    </row>
    <row r="117" spans="21:21" x14ac:dyDescent="0.2">
      <c r="U117" s="25"/>
    </row>
    <row r="118" spans="21:21" x14ac:dyDescent="0.2">
      <c r="U118" s="25"/>
    </row>
    <row r="119" spans="21:21" x14ac:dyDescent="0.2">
      <c r="U119" s="25"/>
    </row>
    <row r="120" spans="21:21" x14ac:dyDescent="0.2">
      <c r="U120" s="25"/>
    </row>
    <row r="121" spans="21:21" x14ac:dyDescent="0.2">
      <c r="U121" s="25"/>
    </row>
    <row r="122" spans="21:21" x14ac:dyDescent="0.2">
      <c r="U122" s="25"/>
    </row>
    <row r="123" spans="21:21" x14ac:dyDescent="0.2">
      <c r="U123" s="25"/>
    </row>
    <row r="124" spans="21:21" x14ac:dyDescent="0.2">
      <c r="U124" s="25"/>
    </row>
    <row r="125" spans="21:21" x14ac:dyDescent="0.2">
      <c r="U125" s="25"/>
    </row>
    <row r="126" spans="21:21" x14ac:dyDescent="0.2">
      <c r="U126" s="25"/>
    </row>
    <row r="127" spans="21:21" x14ac:dyDescent="0.2">
      <c r="U127" s="25"/>
    </row>
    <row r="128" spans="21:21" x14ac:dyDescent="0.2">
      <c r="U128" s="25"/>
    </row>
    <row r="129" spans="21:21" x14ac:dyDescent="0.2">
      <c r="U129" s="25"/>
    </row>
    <row r="130" spans="21:21" x14ac:dyDescent="0.2">
      <c r="U130" s="25"/>
    </row>
    <row r="131" spans="21:21" x14ac:dyDescent="0.2">
      <c r="U131" s="25"/>
    </row>
    <row r="132" spans="21:21" x14ac:dyDescent="0.2">
      <c r="U132" s="25"/>
    </row>
    <row r="133" spans="21:21" x14ac:dyDescent="0.2">
      <c r="U133" s="25"/>
    </row>
    <row r="134" spans="21:21" x14ac:dyDescent="0.2">
      <c r="U134" s="25"/>
    </row>
    <row r="135" spans="21:21" x14ac:dyDescent="0.2">
      <c r="U135" s="25"/>
    </row>
    <row r="136" spans="21:21" x14ac:dyDescent="0.2">
      <c r="U136" s="25"/>
    </row>
    <row r="137" spans="21:21" x14ac:dyDescent="0.2">
      <c r="U137" s="25"/>
    </row>
    <row r="138" spans="21:21" x14ac:dyDescent="0.2">
      <c r="U138" s="25"/>
    </row>
    <row r="139" spans="21:21" x14ac:dyDescent="0.2">
      <c r="U139" s="25"/>
    </row>
    <row r="140" spans="21:21" x14ac:dyDescent="0.2">
      <c r="U140" s="25"/>
    </row>
    <row r="141" spans="21:21" x14ac:dyDescent="0.2">
      <c r="U141" s="25"/>
    </row>
    <row r="142" spans="21:21" x14ac:dyDescent="0.2">
      <c r="U142" s="25"/>
    </row>
    <row r="143" spans="21:21" x14ac:dyDescent="0.2">
      <c r="U143" s="25"/>
    </row>
    <row r="144" spans="21:21" x14ac:dyDescent="0.2">
      <c r="U144" s="25"/>
    </row>
    <row r="145" spans="21:21" x14ac:dyDescent="0.2">
      <c r="U145" s="25"/>
    </row>
    <row r="146" spans="21:21" x14ac:dyDescent="0.2">
      <c r="U146" s="25"/>
    </row>
    <row r="147" spans="21:21" x14ac:dyDescent="0.2">
      <c r="U147" s="25"/>
    </row>
    <row r="148" spans="21:21" x14ac:dyDescent="0.2">
      <c r="U148" s="25"/>
    </row>
    <row r="149" spans="21:21" x14ac:dyDescent="0.2">
      <c r="U149" s="25"/>
    </row>
    <row r="150" spans="21:21" x14ac:dyDescent="0.2">
      <c r="U150" s="25"/>
    </row>
    <row r="151" spans="21:21" x14ac:dyDescent="0.2">
      <c r="U151" s="25"/>
    </row>
    <row r="152" spans="21:21" x14ac:dyDescent="0.2">
      <c r="U152" s="25"/>
    </row>
    <row r="153" spans="21:21" x14ac:dyDescent="0.2">
      <c r="U153" s="25"/>
    </row>
    <row r="154" spans="21:21" x14ac:dyDescent="0.2">
      <c r="U154" s="25"/>
    </row>
    <row r="155" spans="21:21" x14ac:dyDescent="0.2">
      <c r="U155" s="25"/>
    </row>
    <row r="156" spans="21:21" x14ac:dyDescent="0.2">
      <c r="U156" s="25"/>
    </row>
    <row r="157" spans="21:21" x14ac:dyDescent="0.2">
      <c r="U157" s="25"/>
    </row>
    <row r="158" spans="21:21" x14ac:dyDescent="0.2">
      <c r="U158" s="25"/>
    </row>
    <row r="159" spans="21:21" x14ac:dyDescent="0.2">
      <c r="U159" s="25"/>
    </row>
    <row r="160" spans="21:21" x14ac:dyDescent="0.2">
      <c r="U160" s="25"/>
    </row>
    <row r="161" spans="21:21" x14ac:dyDescent="0.2">
      <c r="U161" s="25"/>
    </row>
    <row r="162" spans="21:21" x14ac:dyDescent="0.2">
      <c r="U162" s="25"/>
    </row>
    <row r="163" spans="21:21" x14ac:dyDescent="0.2">
      <c r="U163" s="25"/>
    </row>
    <row r="164" spans="21:21" x14ac:dyDescent="0.2">
      <c r="U164" s="25"/>
    </row>
    <row r="165" spans="21:21" x14ac:dyDescent="0.2">
      <c r="U165" s="25"/>
    </row>
    <row r="166" spans="21:21" x14ac:dyDescent="0.2">
      <c r="U166" s="25"/>
    </row>
    <row r="167" spans="21:21" x14ac:dyDescent="0.2">
      <c r="U167" s="25"/>
    </row>
    <row r="168" spans="21:21" x14ac:dyDescent="0.2">
      <c r="U168" s="25"/>
    </row>
    <row r="169" spans="21:21" x14ac:dyDescent="0.2">
      <c r="U169" s="25"/>
    </row>
    <row r="170" spans="21:21" x14ac:dyDescent="0.2">
      <c r="U170" s="25"/>
    </row>
    <row r="171" spans="21:21" x14ac:dyDescent="0.2">
      <c r="U171" s="25"/>
    </row>
    <row r="172" spans="21:21" x14ac:dyDescent="0.2">
      <c r="U172" s="25"/>
    </row>
    <row r="173" spans="21:21" x14ac:dyDescent="0.2">
      <c r="U173" s="25"/>
    </row>
    <row r="174" spans="21:21" x14ac:dyDescent="0.2">
      <c r="U174" s="25"/>
    </row>
    <row r="175" spans="21:21" x14ac:dyDescent="0.2">
      <c r="U175" s="25"/>
    </row>
    <row r="176" spans="21:21" x14ac:dyDescent="0.2">
      <c r="U176" s="25"/>
    </row>
    <row r="177" spans="21:21" x14ac:dyDescent="0.2">
      <c r="U177" s="25"/>
    </row>
    <row r="178" spans="21:21" x14ac:dyDescent="0.2">
      <c r="U178" s="25"/>
    </row>
    <row r="179" spans="21:21" x14ac:dyDescent="0.2">
      <c r="U179" s="25"/>
    </row>
    <row r="180" spans="21:21" x14ac:dyDescent="0.2">
      <c r="U180" s="25"/>
    </row>
    <row r="181" spans="21:21" x14ac:dyDescent="0.2">
      <c r="U181" s="25"/>
    </row>
    <row r="182" spans="21:21" x14ac:dyDescent="0.2">
      <c r="U182" s="25"/>
    </row>
    <row r="183" spans="21:21" x14ac:dyDescent="0.2">
      <c r="U183" s="25"/>
    </row>
    <row r="184" spans="21:21" x14ac:dyDescent="0.2">
      <c r="U184" s="25"/>
    </row>
    <row r="185" spans="21:21" x14ac:dyDescent="0.2">
      <c r="U185" s="25"/>
    </row>
    <row r="186" spans="21:21" x14ac:dyDescent="0.2">
      <c r="U186" s="25"/>
    </row>
    <row r="187" spans="21:21" x14ac:dyDescent="0.2">
      <c r="U187" s="25"/>
    </row>
    <row r="188" spans="21:21" x14ac:dyDescent="0.2">
      <c r="U188" s="25"/>
    </row>
    <row r="189" spans="21:21" x14ac:dyDescent="0.2">
      <c r="U189" s="25"/>
    </row>
    <row r="190" spans="21:21" x14ac:dyDescent="0.2">
      <c r="U190" s="25"/>
    </row>
    <row r="191" spans="21:21" x14ac:dyDescent="0.2">
      <c r="U191" s="25"/>
    </row>
    <row r="192" spans="21:21" x14ac:dyDescent="0.2">
      <c r="U192" s="25"/>
    </row>
    <row r="193" spans="21:21" x14ac:dyDescent="0.2">
      <c r="U193" s="25"/>
    </row>
    <row r="194" spans="21:21" x14ac:dyDescent="0.2">
      <c r="U194" s="25"/>
    </row>
    <row r="195" spans="21:21" x14ac:dyDescent="0.2">
      <c r="U195" s="25"/>
    </row>
    <row r="196" spans="21:21" x14ac:dyDescent="0.2">
      <c r="U196" s="25"/>
    </row>
    <row r="197" spans="21:21" x14ac:dyDescent="0.2">
      <c r="U197" s="25"/>
    </row>
    <row r="198" spans="21:21" x14ac:dyDescent="0.2">
      <c r="U198" s="25"/>
    </row>
    <row r="199" spans="21:21" x14ac:dyDescent="0.2">
      <c r="U199" s="25"/>
    </row>
    <row r="200" spans="21:21" x14ac:dyDescent="0.2">
      <c r="U200" s="25"/>
    </row>
    <row r="201" spans="21:21" x14ac:dyDescent="0.2">
      <c r="U201" s="25"/>
    </row>
    <row r="202" spans="21:21" x14ac:dyDescent="0.2">
      <c r="U202" s="25"/>
    </row>
    <row r="203" spans="21:21" x14ac:dyDescent="0.2">
      <c r="U203" s="25"/>
    </row>
    <row r="204" spans="21:21" x14ac:dyDescent="0.2">
      <c r="U204" s="25"/>
    </row>
    <row r="205" spans="21:21" x14ac:dyDescent="0.2">
      <c r="U205" s="25"/>
    </row>
    <row r="206" spans="21:21" x14ac:dyDescent="0.2">
      <c r="U206" s="25"/>
    </row>
    <row r="207" spans="21:21" x14ac:dyDescent="0.2">
      <c r="U207" s="25"/>
    </row>
    <row r="208" spans="21:21" x14ac:dyDescent="0.2">
      <c r="U208" s="25"/>
    </row>
    <row r="209" spans="21:21" x14ac:dyDescent="0.2">
      <c r="U209" s="25"/>
    </row>
    <row r="210" spans="21:21" x14ac:dyDescent="0.2">
      <c r="U210" s="25"/>
    </row>
    <row r="211" spans="21:21" x14ac:dyDescent="0.2">
      <c r="U211" s="25"/>
    </row>
    <row r="212" spans="21:21" x14ac:dyDescent="0.2">
      <c r="U212" s="25"/>
    </row>
    <row r="213" spans="21:21" x14ac:dyDescent="0.2">
      <c r="U213" s="25"/>
    </row>
    <row r="214" spans="21:21" x14ac:dyDescent="0.2">
      <c r="U214" s="25"/>
    </row>
    <row r="215" spans="21:21" x14ac:dyDescent="0.2">
      <c r="U215" s="25"/>
    </row>
    <row r="216" spans="21:21" x14ac:dyDescent="0.2">
      <c r="U216" s="25"/>
    </row>
    <row r="217" spans="21:21" x14ac:dyDescent="0.2">
      <c r="U217" s="25"/>
    </row>
    <row r="218" spans="21:21" x14ac:dyDescent="0.2">
      <c r="U218" s="25"/>
    </row>
    <row r="219" spans="21:21" x14ac:dyDescent="0.2">
      <c r="U219" s="25"/>
    </row>
    <row r="220" spans="21:21" x14ac:dyDescent="0.2">
      <c r="U220" s="25"/>
    </row>
    <row r="221" spans="21:21" x14ac:dyDescent="0.2">
      <c r="U221" s="25"/>
    </row>
    <row r="222" spans="21:21" x14ac:dyDescent="0.2">
      <c r="U222" s="25"/>
    </row>
    <row r="223" spans="21:21" x14ac:dyDescent="0.2">
      <c r="U223" s="25"/>
    </row>
    <row r="224" spans="21:21" x14ac:dyDescent="0.2">
      <c r="U224" s="25"/>
    </row>
    <row r="225" spans="21:21" x14ac:dyDescent="0.2">
      <c r="U225" s="25"/>
    </row>
    <row r="226" spans="21:21" x14ac:dyDescent="0.2">
      <c r="U226" s="25"/>
    </row>
    <row r="227" spans="21:21" x14ac:dyDescent="0.2">
      <c r="U227" s="25"/>
    </row>
    <row r="228" spans="21:21" x14ac:dyDescent="0.2">
      <c r="U228" s="25"/>
    </row>
    <row r="229" spans="21:21" x14ac:dyDescent="0.2">
      <c r="U229" s="25"/>
    </row>
    <row r="230" spans="21:21" x14ac:dyDescent="0.2">
      <c r="U230" s="25"/>
    </row>
    <row r="231" spans="21:21" x14ac:dyDescent="0.2">
      <c r="U231" s="25"/>
    </row>
    <row r="232" spans="21:21" x14ac:dyDescent="0.2">
      <c r="U232" s="25"/>
    </row>
    <row r="233" spans="21:21" x14ac:dyDescent="0.2">
      <c r="U233" s="25"/>
    </row>
    <row r="234" spans="21:21" x14ac:dyDescent="0.2">
      <c r="U234" s="25"/>
    </row>
    <row r="235" spans="21:21" x14ac:dyDescent="0.2">
      <c r="U235" s="25"/>
    </row>
    <row r="236" spans="21:21" x14ac:dyDescent="0.2">
      <c r="U236" s="25"/>
    </row>
    <row r="237" spans="21:21" x14ac:dyDescent="0.2">
      <c r="U237" s="25"/>
    </row>
    <row r="238" spans="21:21" x14ac:dyDescent="0.2">
      <c r="U238" s="25"/>
    </row>
    <row r="239" spans="21:21" x14ac:dyDescent="0.2">
      <c r="U239" s="25"/>
    </row>
    <row r="240" spans="21:21" x14ac:dyDescent="0.2">
      <c r="U240" s="25"/>
    </row>
    <row r="241" spans="21:21" x14ac:dyDescent="0.2">
      <c r="U241" s="25"/>
    </row>
    <row r="242" spans="21:21" x14ac:dyDescent="0.2">
      <c r="U242" s="25"/>
    </row>
    <row r="243" spans="21:21" x14ac:dyDescent="0.2">
      <c r="U243" s="25"/>
    </row>
    <row r="244" spans="21:21" x14ac:dyDescent="0.2">
      <c r="U244" s="25"/>
    </row>
    <row r="245" spans="21:21" x14ac:dyDescent="0.2">
      <c r="U245" s="25"/>
    </row>
    <row r="246" spans="21:21" x14ac:dyDescent="0.2">
      <c r="U246" s="25"/>
    </row>
    <row r="247" spans="21:21" x14ac:dyDescent="0.2">
      <c r="U247" s="25"/>
    </row>
    <row r="248" spans="21:21" x14ac:dyDescent="0.2">
      <c r="U248" s="25"/>
    </row>
    <row r="249" spans="21:21" x14ac:dyDescent="0.2">
      <c r="U249" s="25"/>
    </row>
    <row r="250" spans="21:21" x14ac:dyDescent="0.2">
      <c r="U250" s="25"/>
    </row>
    <row r="251" spans="21:21" x14ac:dyDescent="0.2">
      <c r="U251" s="25"/>
    </row>
    <row r="252" spans="21:21" x14ac:dyDescent="0.2">
      <c r="U252" s="25"/>
    </row>
    <row r="253" spans="21:21" x14ac:dyDescent="0.2">
      <c r="U253" s="25"/>
    </row>
    <row r="254" spans="21:21" x14ac:dyDescent="0.2">
      <c r="U254" s="25"/>
    </row>
    <row r="255" spans="21:21" x14ac:dyDescent="0.2">
      <c r="U255" s="25"/>
    </row>
    <row r="256" spans="21:21" x14ac:dyDescent="0.2">
      <c r="U256" s="25"/>
    </row>
    <row r="257" spans="21:21" x14ac:dyDescent="0.2">
      <c r="U257" s="25"/>
    </row>
    <row r="258" spans="21:21" x14ac:dyDescent="0.2">
      <c r="U258" s="25"/>
    </row>
    <row r="259" spans="21:21" x14ac:dyDescent="0.2">
      <c r="U259" s="25"/>
    </row>
    <row r="260" spans="21:21" x14ac:dyDescent="0.2">
      <c r="U260" s="25"/>
    </row>
    <row r="261" spans="21:21" x14ac:dyDescent="0.2">
      <c r="U261" s="25"/>
    </row>
    <row r="262" spans="21:21" x14ac:dyDescent="0.2">
      <c r="U262" s="25"/>
    </row>
    <row r="263" spans="21:21" x14ac:dyDescent="0.2">
      <c r="U263" s="25"/>
    </row>
    <row r="264" spans="21:21" x14ac:dyDescent="0.2">
      <c r="U264" s="25"/>
    </row>
    <row r="265" spans="21:21" x14ac:dyDescent="0.2">
      <c r="U265" s="25"/>
    </row>
    <row r="266" spans="21:21" x14ac:dyDescent="0.2">
      <c r="U266" s="25"/>
    </row>
    <row r="267" spans="21:21" x14ac:dyDescent="0.2">
      <c r="U267" s="25"/>
    </row>
    <row r="268" spans="21:21" x14ac:dyDescent="0.2">
      <c r="U268" s="25"/>
    </row>
    <row r="269" spans="21:21" x14ac:dyDescent="0.2">
      <c r="U269" s="25"/>
    </row>
    <row r="270" spans="21:21" x14ac:dyDescent="0.2">
      <c r="U270" s="25"/>
    </row>
    <row r="271" spans="21:21" x14ac:dyDescent="0.2">
      <c r="U271" s="25"/>
    </row>
    <row r="272" spans="21:21" x14ac:dyDescent="0.2">
      <c r="U272" s="25"/>
    </row>
    <row r="273" spans="21:21" x14ac:dyDescent="0.2">
      <c r="U273" s="25"/>
    </row>
    <row r="274" spans="21:21" x14ac:dyDescent="0.2">
      <c r="U274" s="25"/>
    </row>
    <row r="275" spans="21:21" x14ac:dyDescent="0.2">
      <c r="U275" s="25"/>
    </row>
    <row r="276" spans="21:21" x14ac:dyDescent="0.2">
      <c r="U276" s="25"/>
    </row>
    <row r="277" spans="21:21" x14ac:dyDescent="0.2">
      <c r="U277" s="25"/>
    </row>
    <row r="278" spans="21:21" x14ac:dyDescent="0.2">
      <c r="U278" s="25"/>
    </row>
    <row r="279" spans="21:21" x14ac:dyDescent="0.2">
      <c r="U279" s="25"/>
    </row>
    <row r="280" spans="21:21" x14ac:dyDescent="0.2">
      <c r="U280" s="25"/>
    </row>
    <row r="281" spans="21:21" x14ac:dyDescent="0.2">
      <c r="U281" s="25"/>
    </row>
    <row r="282" spans="21:21" x14ac:dyDescent="0.2">
      <c r="U282" s="25"/>
    </row>
    <row r="283" spans="21:21" x14ac:dyDescent="0.2">
      <c r="U283" s="25"/>
    </row>
    <row r="284" spans="21:21" x14ac:dyDescent="0.2">
      <c r="U284" s="25"/>
    </row>
    <row r="285" spans="21:21" x14ac:dyDescent="0.2">
      <c r="U285" s="25"/>
    </row>
    <row r="286" spans="21:21" x14ac:dyDescent="0.2">
      <c r="U286" s="25"/>
    </row>
    <row r="287" spans="21:21" x14ac:dyDescent="0.2">
      <c r="U287" s="25"/>
    </row>
    <row r="288" spans="21:21" x14ac:dyDescent="0.2">
      <c r="U288" s="25"/>
    </row>
    <row r="289" spans="21:21" x14ac:dyDescent="0.2">
      <c r="U289" s="25"/>
    </row>
    <row r="290" spans="21:21" x14ac:dyDescent="0.2">
      <c r="U290" s="25"/>
    </row>
    <row r="291" spans="21:21" x14ac:dyDescent="0.2">
      <c r="U291" s="25"/>
    </row>
    <row r="292" spans="21:21" x14ac:dyDescent="0.2">
      <c r="U292" s="25"/>
    </row>
    <row r="293" spans="21:21" x14ac:dyDescent="0.2">
      <c r="U293" s="25"/>
    </row>
    <row r="294" spans="21:21" x14ac:dyDescent="0.2">
      <c r="U294" s="25"/>
    </row>
    <row r="295" spans="21:21" x14ac:dyDescent="0.2">
      <c r="U295" s="25"/>
    </row>
    <row r="296" spans="21:21" x14ac:dyDescent="0.2">
      <c r="U296" s="25"/>
    </row>
    <row r="297" spans="21:21" x14ac:dyDescent="0.2">
      <c r="U297" s="25"/>
    </row>
    <row r="298" spans="21:21" x14ac:dyDescent="0.2">
      <c r="U298" s="25"/>
    </row>
    <row r="299" spans="21:21" x14ac:dyDescent="0.2">
      <c r="U299" s="25"/>
    </row>
    <row r="300" spans="21:21" x14ac:dyDescent="0.2">
      <c r="U300" s="25"/>
    </row>
    <row r="301" spans="21:21" x14ac:dyDescent="0.2">
      <c r="U301" s="25"/>
    </row>
    <row r="302" spans="21:21" x14ac:dyDescent="0.2">
      <c r="U302" s="25"/>
    </row>
    <row r="303" spans="21:21" x14ac:dyDescent="0.2">
      <c r="U303" s="25"/>
    </row>
    <row r="304" spans="21:21" x14ac:dyDescent="0.2">
      <c r="U304" s="25"/>
    </row>
    <row r="305" spans="21:21" x14ac:dyDescent="0.2">
      <c r="U305" s="25"/>
    </row>
    <row r="306" spans="21:21" x14ac:dyDescent="0.2">
      <c r="U306" s="25"/>
    </row>
    <row r="307" spans="21:21" x14ac:dyDescent="0.2">
      <c r="U307" s="25"/>
    </row>
    <row r="308" spans="21:21" x14ac:dyDescent="0.2">
      <c r="U308" s="25"/>
    </row>
    <row r="309" spans="21:21" x14ac:dyDescent="0.2">
      <c r="U309" s="25"/>
    </row>
    <row r="310" spans="21:21" x14ac:dyDescent="0.2">
      <c r="U310" s="25"/>
    </row>
    <row r="311" spans="21:21" x14ac:dyDescent="0.2">
      <c r="U311" s="25"/>
    </row>
    <row r="312" spans="21:21" x14ac:dyDescent="0.2">
      <c r="U312" s="25"/>
    </row>
    <row r="313" spans="21:21" x14ac:dyDescent="0.2">
      <c r="U313" s="25"/>
    </row>
    <row r="314" spans="21:21" x14ac:dyDescent="0.2">
      <c r="U314" s="25"/>
    </row>
    <row r="315" spans="21:21" x14ac:dyDescent="0.2">
      <c r="U315" s="25"/>
    </row>
    <row r="316" spans="21:21" x14ac:dyDescent="0.2">
      <c r="U316" s="25"/>
    </row>
    <row r="317" spans="21:21" x14ac:dyDescent="0.2">
      <c r="U317" s="25"/>
    </row>
    <row r="318" spans="21:21" x14ac:dyDescent="0.2">
      <c r="U318" s="25"/>
    </row>
    <row r="319" spans="21:21" x14ac:dyDescent="0.2">
      <c r="U319" s="25"/>
    </row>
    <row r="320" spans="21:21" x14ac:dyDescent="0.2">
      <c r="U320" s="25"/>
    </row>
    <row r="321" spans="21:21" x14ac:dyDescent="0.2">
      <c r="U321" s="25"/>
    </row>
    <row r="322" spans="21:21" x14ac:dyDescent="0.2">
      <c r="U322" s="25"/>
    </row>
    <row r="323" spans="21:21" x14ac:dyDescent="0.2">
      <c r="U323" s="25"/>
    </row>
    <row r="324" spans="21:21" x14ac:dyDescent="0.2">
      <c r="U324" s="25"/>
    </row>
    <row r="325" spans="21:21" x14ac:dyDescent="0.2">
      <c r="U325" s="25"/>
    </row>
    <row r="326" spans="21:21" x14ac:dyDescent="0.2">
      <c r="U326" s="25"/>
    </row>
    <row r="327" spans="21:21" x14ac:dyDescent="0.2">
      <c r="U327" s="25"/>
    </row>
    <row r="328" spans="21:21" x14ac:dyDescent="0.2">
      <c r="U328" s="25"/>
    </row>
    <row r="329" spans="21:21" x14ac:dyDescent="0.2">
      <c r="U329" s="25"/>
    </row>
    <row r="330" spans="21:21" x14ac:dyDescent="0.2">
      <c r="U330" s="25"/>
    </row>
    <row r="331" spans="21:21" x14ac:dyDescent="0.2">
      <c r="U331" s="25"/>
    </row>
    <row r="332" spans="21:21" x14ac:dyDescent="0.2">
      <c r="U332" s="25"/>
    </row>
    <row r="333" spans="21:21" x14ac:dyDescent="0.2">
      <c r="U333" s="25"/>
    </row>
    <row r="334" spans="21:21" x14ac:dyDescent="0.2">
      <c r="U334" s="25"/>
    </row>
    <row r="335" spans="21:21" x14ac:dyDescent="0.2">
      <c r="U335" s="25"/>
    </row>
    <row r="336" spans="21:21" x14ac:dyDescent="0.2">
      <c r="U336" s="25"/>
    </row>
    <row r="337" spans="21:21" x14ac:dyDescent="0.2">
      <c r="U337" s="25"/>
    </row>
    <row r="338" spans="21:21" x14ac:dyDescent="0.2">
      <c r="U338" s="25"/>
    </row>
    <row r="339" spans="21:21" x14ac:dyDescent="0.2">
      <c r="U339" s="25"/>
    </row>
    <row r="340" spans="21:21" x14ac:dyDescent="0.2">
      <c r="U340" s="25"/>
    </row>
    <row r="341" spans="21:21" x14ac:dyDescent="0.2">
      <c r="U341" s="25"/>
    </row>
    <row r="342" spans="21:21" x14ac:dyDescent="0.2">
      <c r="U342" s="25"/>
    </row>
    <row r="343" spans="21:21" x14ac:dyDescent="0.2">
      <c r="U343" s="25"/>
    </row>
    <row r="344" spans="21:21" x14ac:dyDescent="0.2">
      <c r="U344" s="25"/>
    </row>
    <row r="345" spans="21:21" x14ac:dyDescent="0.2">
      <c r="U345" s="25"/>
    </row>
    <row r="346" spans="21:21" x14ac:dyDescent="0.2">
      <c r="U346" s="25"/>
    </row>
    <row r="347" spans="21:21" x14ac:dyDescent="0.2">
      <c r="U347" s="25"/>
    </row>
    <row r="348" spans="21:21" x14ac:dyDescent="0.2">
      <c r="U348" s="25"/>
    </row>
    <row r="349" spans="21:21" x14ac:dyDescent="0.2">
      <c r="U349" s="25"/>
    </row>
    <row r="350" spans="21:21" x14ac:dyDescent="0.2">
      <c r="U350" s="25"/>
    </row>
    <row r="351" spans="21:21" x14ac:dyDescent="0.2">
      <c r="U351" s="25"/>
    </row>
    <row r="352" spans="21:21" x14ac:dyDescent="0.2">
      <c r="U352" s="25"/>
    </row>
    <row r="353" spans="21:21" x14ac:dyDescent="0.2">
      <c r="U353" s="25"/>
    </row>
    <row r="354" spans="21:21" x14ac:dyDescent="0.2">
      <c r="U354" s="25"/>
    </row>
    <row r="355" spans="21:21" x14ac:dyDescent="0.2">
      <c r="U355" s="25"/>
    </row>
    <row r="356" spans="21:21" x14ac:dyDescent="0.2">
      <c r="U356" s="25"/>
    </row>
    <row r="357" spans="21:21" x14ac:dyDescent="0.2">
      <c r="U357" s="25"/>
    </row>
    <row r="358" spans="21:21" x14ac:dyDescent="0.2">
      <c r="U358" s="25"/>
    </row>
    <row r="359" spans="21:21" x14ac:dyDescent="0.2">
      <c r="U359" s="25"/>
    </row>
    <row r="360" spans="21:21" x14ac:dyDescent="0.2">
      <c r="U360" s="25"/>
    </row>
    <row r="361" spans="21:21" x14ac:dyDescent="0.2">
      <c r="U361" s="25"/>
    </row>
    <row r="362" spans="21:21" x14ac:dyDescent="0.2">
      <c r="U362" s="25"/>
    </row>
    <row r="363" spans="21:21" x14ac:dyDescent="0.2">
      <c r="U363" s="25"/>
    </row>
    <row r="364" spans="21:21" x14ac:dyDescent="0.2">
      <c r="U364" s="25"/>
    </row>
    <row r="365" spans="21:21" x14ac:dyDescent="0.2">
      <c r="U365" s="25"/>
    </row>
    <row r="366" spans="21:21" x14ac:dyDescent="0.2">
      <c r="U366" s="25"/>
    </row>
    <row r="367" spans="21:21" x14ac:dyDescent="0.2">
      <c r="U367" s="25"/>
    </row>
    <row r="368" spans="21:21" x14ac:dyDescent="0.2">
      <c r="U368" s="25"/>
    </row>
    <row r="369" spans="21:21" x14ac:dyDescent="0.2">
      <c r="U369" s="25"/>
    </row>
    <row r="370" spans="21:21" x14ac:dyDescent="0.2">
      <c r="U370" s="25"/>
    </row>
    <row r="371" spans="21:21" x14ac:dyDescent="0.2">
      <c r="U371" s="25"/>
    </row>
    <row r="372" spans="21:21" x14ac:dyDescent="0.2">
      <c r="U372" s="25"/>
    </row>
    <row r="373" spans="21:21" x14ac:dyDescent="0.2">
      <c r="U373" s="25"/>
    </row>
    <row r="374" spans="21:21" x14ac:dyDescent="0.2">
      <c r="U374" s="25"/>
    </row>
    <row r="375" spans="21:21" x14ac:dyDescent="0.2">
      <c r="U375" s="25"/>
    </row>
    <row r="376" spans="21:21" x14ac:dyDescent="0.2">
      <c r="U376" s="25"/>
    </row>
    <row r="377" spans="21:21" x14ac:dyDescent="0.2">
      <c r="U377" s="25"/>
    </row>
  </sheetData>
  <autoFilter ref="C2:V371" xr:uid="{00000000-0001-0000-0000-000000000000}"/>
  <conditionalFormatting sqref="O25:O55">
    <cfRule type="cellIs" dxfId="0" priority="2" operator="greaterThan">
      <formula>0</formula>
    </cfRule>
  </conditionalFormatting>
  <pageMargins left="0.31496062992125984" right="0.31496062992125984" top="0.35433070866141736" bottom="0.55118110236220474" header="0.31496062992125984" footer="0.31496062992125984"/>
  <pageSetup paperSize="9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SITE</vt:lpstr>
      <vt:lpstr>SITE!Print_Area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Myoffice27282</cp:lastModifiedBy>
  <cp:lastPrinted>2025-06-23T10:34:04Z</cp:lastPrinted>
  <dcterms:created xsi:type="dcterms:W3CDTF">2024-01-03T07:18:09Z</dcterms:created>
  <dcterms:modified xsi:type="dcterms:W3CDTF">2025-12-18T08:28:38Z</dcterms:modified>
</cp:coreProperties>
</file>