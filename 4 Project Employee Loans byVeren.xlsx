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24226"/>
  <mc:AlternateContent xmlns:mc="http://schemas.openxmlformats.org/markup-compatibility/2006">
    <mc:Choice Requires="x15">
      <x15ac:absPath xmlns:x15ac="http://schemas.microsoft.com/office/spreadsheetml/2010/11/ac" url="C:\Users\PC\Downloads\Employee Loan Data Cleaning\"/>
    </mc:Choice>
  </mc:AlternateContent>
  <xr:revisionPtr revIDLastSave="0" documentId="13_ncr:1_{00221586-8006-40FA-BD27-4CBEEEAB108A}" xr6:coauthVersionLast="47" xr6:coauthVersionMax="47" xr10:uidLastSave="{00000000-0000-0000-0000-000000000000}"/>
  <bookViews>
    <workbookView xWindow="-120" yWindow="-120" windowWidth="20730" windowHeight="11160" activeTab="1" xr2:uid="{00000000-000D-0000-FFFF-FFFF00000000}"/>
  </bookViews>
  <sheets>
    <sheet name="Db" sheetId="7" r:id="rId1"/>
    <sheet name="Piv Install" sheetId="3" r:id="rId2"/>
    <sheet name="Input" sheetId="6" r:id="rId3"/>
    <sheet name="Loan" sheetId="1" r:id="rId4"/>
    <sheet name="Installment" sheetId="2" r:id="rId5"/>
  </sheets>
  <definedNames>
    <definedName name="_xlcn.WorksheetConnection_PLANNINGPINJAMAN.xlsxCicilan1" hidden="1">Cicilan[]</definedName>
    <definedName name="_xlcn.WorksheetConnection_PLANNINGPINJAMAN.xlsxPinjaman1" hidden="1">Pinjaman[]</definedName>
    <definedName name="_xlcn.WorksheetConnection_Project_PotonganPinjamanbyVeren.xlsxTable31" hidden="1">Table3[]</definedName>
    <definedName name="Slicer_Cabang">#N/A</definedName>
    <definedName name="Slicer_Months__Tanggal_Pinjaman">#N/A</definedName>
    <definedName name="Slicer_Periode_Bulan">#N/A</definedName>
    <definedName name="Slicer_Periode_Gaji">#N/A</definedName>
    <definedName name="Slicer_Slicer">#N/A</definedName>
    <definedName name="Slicer_Status">#N/A</definedName>
    <definedName name="Slicer_Status1">#N/A</definedName>
    <definedName name="Slicer_Status2">#N/A</definedName>
    <definedName name="Slicer_Years__Tanggal_Pinjaman">#N/A</definedName>
    <definedName name="Via">Installment!$P$3:$P$21</definedName>
  </definedNames>
  <calcPr calcId="191029"/>
  <pivotCaches>
    <pivotCache cacheId="69" r:id="rId6"/>
    <pivotCache cacheId="80" r:id="rId7"/>
  </pivotCaches>
  <extLst>
    <ext xmlns:x14="http://schemas.microsoft.com/office/spreadsheetml/2009/9/main" uri="{876F7934-8845-4945-9796-88D515C7AA90}">
      <x14:pivotCaches>
        <pivotCache cacheId="71"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4:slicerCache r:id="rId17"/>
      </x15:slicerCaches>
    </ext>
    <ext xmlns:x15="http://schemas.microsoft.com/office/spreadsheetml/2010/11/main" uri="{FCE2AD5D-F65C-4FA6-A056-5C36A1767C68}">
      <x15:dataModel>
        <x15:modelTables>
          <x15:modelTable id="Table3" name="Table3" connection="WorksheetConnection_Project_Potongan Pinjaman byVeren.xlsx!Table3"/>
          <x15:modelTable id="Pinjaman" name="Pinjaman" connection="WorksheetConnection_PLANNING PINJAMAN.xlsx!Pinjaman"/>
          <x15:modelTable id="Cicilan" name="Cicilan" connection="WorksheetConnection_PLANNING PINJAMAN.xlsx!Cicilan"/>
        </x15:modelTables>
        <x15:modelRelationships>
          <x15:modelRelationship fromTable="Cicilan" fromColumn="ID" toTable="Pinjaman" toColumn="ID"/>
        </x15:modelRelationships>
        <x15:extLst>
          <ext xmlns:x16="http://schemas.microsoft.com/office/spreadsheetml/2014/11/main" uri="{9835A34E-60A6-4A7C-AAB8-D5F71C897F49}">
            <x16:modelTimeGroupings>
              <x16:modelTimeGrouping tableName="Pinjaman" columnName="Tanggal Pinjaman" columnId="Tanggal Pinjaman">
                <x16:calculatedTimeColumn columnName="Tanggal Pinjaman (Year)" columnId="Tanggal Pinjaman (Year)" contentType="years" isSelected="1"/>
                <x16:calculatedTimeColumn columnName="Tanggal Pinjaman (Quarter)" columnId="Tanggal Pinjaman (Quarter)" contentType="quarters" isSelected="1"/>
                <x16:calculatedTimeColumn columnName="Tanggal Pinjaman (Month Index)" columnId="Tanggal Pinjaman (Month Index)" contentType="monthsindex" isSelected="1"/>
                <x16:calculatedTimeColumn columnName="Tanggal Pinjaman (Month)" columnId="Tanggal Pinjaman (Month)" contentType="months" isSelected="1"/>
              </x16:modelTimeGrouping>
              <x16:modelTimeGrouping tableName="Cicilan" columnName="Periode Gaji" columnId="Periode Gaji">
                <x16:calculatedTimeColumn columnName="Periode Gaji (Year)" columnId="Periode Gaji (Year)" contentType="years" isSelected="1"/>
                <x16:calculatedTimeColumn columnName="Periode Gaji (Quarter)" columnId="Periode Gaji (Quarter)" contentType="quarters" isSelected="1"/>
                <x16:calculatedTimeColumn columnName="Periode Gaji (Month Index)" columnId="Periode Gaji (Month Index)" contentType="monthsindex" isSelected="1"/>
                <x16:calculatedTimeColumn columnName="Periode Gaji (Month)" columnId="Periode Gaji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6" l="1"/>
  <c r="F28" i="6"/>
  <c r="F27" i="6"/>
  <c r="F26" i="6"/>
  <c r="E27" i="6"/>
  <c r="E28" i="6"/>
  <c r="E29" i="6"/>
  <c r="E26" i="6"/>
  <c r="B3" i="6"/>
  <c r="C3" i="6"/>
  <c r="A3" i="6"/>
  <c r="F87" i="1"/>
  <c r="G215" i="2"/>
  <c r="C203" i="2"/>
  <c r="C204" i="2"/>
  <c r="C205" i="2"/>
  <c r="C206" i="2"/>
  <c r="C207" i="2"/>
  <c r="C208" i="2"/>
  <c r="C209" i="2"/>
  <c r="C210" i="2"/>
  <c r="C211" i="2"/>
  <c r="C212" i="2"/>
  <c r="C213" i="2"/>
  <c r="C214" i="2"/>
  <c r="D203" i="2"/>
  <c r="D204" i="2"/>
  <c r="D205" i="2"/>
  <c r="D206" i="2"/>
  <c r="D207" i="2"/>
  <c r="D208" i="2"/>
  <c r="D209" i="2"/>
  <c r="D210" i="2"/>
  <c r="D211" i="2"/>
  <c r="D212" i="2"/>
  <c r="D213" i="2"/>
  <c r="D214" i="2"/>
  <c r="F203" i="2"/>
  <c r="F204" i="2"/>
  <c r="F205" i="2"/>
  <c r="F206" i="2"/>
  <c r="F207" i="2"/>
  <c r="F208" i="2"/>
  <c r="F209" i="2"/>
  <c r="F210" i="2"/>
  <c r="F211" i="2"/>
  <c r="F212" i="2"/>
  <c r="F213" i="2"/>
  <c r="F214" i="2"/>
  <c r="C202" i="2"/>
  <c r="D202" i="2"/>
  <c r="F202" i="2"/>
  <c r="C201" i="2" l="1"/>
  <c r="D201" i="2"/>
  <c r="F201" i="2"/>
  <c r="K72" i="1"/>
  <c r="K86" i="1"/>
  <c r="E86" i="1"/>
  <c r="G86" i="1"/>
  <c r="E72" i="1"/>
  <c r="G72" i="1"/>
  <c r="I72" i="1" s="1"/>
  <c r="H72" i="1" s="1"/>
  <c r="C200" i="2"/>
  <c r="D200" i="2"/>
  <c r="F200" i="2"/>
  <c r="K85" i="1"/>
  <c r="K84" i="1"/>
  <c r="G84" i="1"/>
  <c r="I84" i="1" s="1"/>
  <c r="G85" i="1"/>
  <c r="I85" i="1" s="1"/>
  <c r="H85" i="1" s="1"/>
  <c r="E84" i="1"/>
  <c r="E85" i="1"/>
  <c r="C184" i="2"/>
  <c r="C185" i="2"/>
  <c r="C186" i="2"/>
  <c r="C187" i="2"/>
  <c r="C188" i="2"/>
  <c r="C189" i="2"/>
  <c r="C190" i="2"/>
  <c r="C191" i="2"/>
  <c r="C192" i="2"/>
  <c r="C193" i="2"/>
  <c r="C194" i="2"/>
  <c r="C195" i="2"/>
  <c r="C196" i="2"/>
  <c r="C197" i="2"/>
  <c r="C198" i="2"/>
  <c r="C199" i="2"/>
  <c r="D184" i="2"/>
  <c r="D185" i="2"/>
  <c r="D186" i="2"/>
  <c r="D187" i="2"/>
  <c r="D188" i="2"/>
  <c r="D189" i="2"/>
  <c r="D190" i="2"/>
  <c r="D191" i="2"/>
  <c r="D192" i="2"/>
  <c r="D193" i="2"/>
  <c r="D194" i="2"/>
  <c r="D195" i="2"/>
  <c r="D196" i="2"/>
  <c r="D197" i="2"/>
  <c r="D198" i="2"/>
  <c r="D199" i="2"/>
  <c r="F184" i="2"/>
  <c r="F185" i="2"/>
  <c r="F186" i="2"/>
  <c r="F187" i="2"/>
  <c r="F188" i="2"/>
  <c r="F189" i="2"/>
  <c r="F190" i="2"/>
  <c r="F191" i="2"/>
  <c r="F192" i="2"/>
  <c r="F193" i="2"/>
  <c r="F194" i="2"/>
  <c r="F195" i="2"/>
  <c r="F196" i="2"/>
  <c r="F197" i="2"/>
  <c r="F198" i="2"/>
  <c r="F199" i="2"/>
  <c r="C183" i="2"/>
  <c r="D183" i="2"/>
  <c r="F183" i="2"/>
  <c r="I86" i="1" l="1"/>
  <c r="H84" i="1"/>
  <c r="C182" i="2"/>
  <c r="D182" i="2"/>
  <c r="F182" i="2"/>
  <c r="C163" i="2"/>
  <c r="D163" i="2"/>
  <c r="F163" i="2"/>
  <c r="K83" i="1"/>
  <c r="K71" i="1"/>
  <c r="E83" i="1"/>
  <c r="E71" i="1"/>
  <c r="G83" i="1"/>
  <c r="I83" i="1" s="1"/>
  <c r="H83" i="1" s="1"/>
  <c r="G71" i="1"/>
  <c r="I71" i="1" s="1"/>
  <c r="H71" i="1" s="1"/>
  <c r="C165" i="2"/>
  <c r="D165" i="2"/>
  <c r="F165" i="2"/>
  <c r="K82" i="1"/>
  <c r="E82" i="1"/>
  <c r="G82" i="1"/>
  <c r="I82" i="1" s="1"/>
  <c r="H82" i="1" s="1"/>
  <c r="K81" i="1"/>
  <c r="K80" i="1"/>
  <c r="E81" i="1"/>
  <c r="G81" i="1"/>
  <c r="I81" i="1" s="1"/>
  <c r="H81" i="1" s="1"/>
  <c r="E80" i="1"/>
  <c r="G80" i="1"/>
  <c r="I80" i="1" s="1"/>
  <c r="H80" i="1" s="1"/>
  <c r="K79" i="1"/>
  <c r="E79" i="1"/>
  <c r="G79" i="1"/>
  <c r="I79" i="1" s="1"/>
  <c r="H79" i="1" s="1"/>
  <c r="C162" i="2"/>
  <c r="D162" i="2"/>
  <c r="F162" i="2"/>
  <c r="K78" i="1"/>
  <c r="K50" i="1"/>
  <c r="K58" i="1"/>
  <c r="K59" i="1"/>
  <c r="K60" i="1"/>
  <c r="K61" i="1"/>
  <c r="K62" i="1"/>
  <c r="K76" i="1"/>
  <c r="K64" i="1"/>
  <c r="K65" i="1"/>
  <c r="K66" i="1"/>
  <c r="K67" i="1"/>
  <c r="K68" i="1"/>
  <c r="K77" i="1"/>
  <c r="K69" i="1"/>
  <c r="K70" i="1"/>
  <c r="E78" i="1"/>
  <c r="G78" i="1"/>
  <c r="I78" i="1" s="1"/>
  <c r="H78" i="1" s="1"/>
  <c r="C160" i="2"/>
  <c r="D160" i="2"/>
  <c r="F160" i="2"/>
  <c r="L1" i="1" a="1"/>
  <c r="L1" i="1" s="1"/>
  <c r="H86" i="1" l="1"/>
  <c r="E70" i="1"/>
  <c r="G70" i="1"/>
  <c r="I70" i="1" s="1"/>
  <c r="H70" i="1" s="1"/>
  <c r="C169" i="2" l="1"/>
  <c r="C170" i="2"/>
  <c r="C171" i="2"/>
  <c r="C172" i="2"/>
  <c r="C173" i="2"/>
  <c r="C180" i="2"/>
  <c r="C174" i="2"/>
  <c r="C161" i="2"/>
  <c r="C175" i="2"/>
  <c r="C176" i="2"/>
  <c r="C164" i="2"/>
  <c r="D169" i="2"/>
  <c r="D170" i="2"/>
  <c r="D171" i="2"/>
  <c r="D172" i="2"/>
  <c r="D173" i="2"/>
  <c r="D180" i="2"/>
  <c r="D174" i="2"/>
  <c r="D161" i="2"/>
  <c r="D175" i="2"/>
  <c r="D176" i="2"/>
  <c r="D164" i="2"/>
  <c r="F169" i="2"/>
  <c r="F170" i="2"/>
  <c r="F171" i="2"/>
  <c r="F172" i="2"/>
  <c r="F173" i="2"/>
  <c r="F180" i="2"/>
  <c r="F174" i="2"/>
  <c r="F161" i="2"/>
  <c r="F175" i="2"/>
  <c r="F176" i="2"/>
  <c r="F164" i="2"/>
  <c r="C167" i="2"/>
  <c r="C168" i="2"/>
  <c r="C177" i="2"/>
  <c r="C178" i="2"/>
  <c r="D167" i="2"/>
  <c r="D168" i="2"/>
  <c r="D177" i="2"/>
  <c r="D178" i="2"/>
  <c r="F167" i="2"/>
  <c r="F168" i="2"/>
  <c r="F177" i="2"/>
  <c r="F178" i="2"/>
  <c r="C181" i="2"/>
  <c r="D181" i="2"/>
  <c r="F181" i="2"/>
  <c r="C179" i="2"/>
  <c r="D179" i="2"/>
  <c r="F179" i="2"/>
  <c r="C142" i="2" l="1"/>
  <c r="D142" i="2"/>
  <c r="F142" i="2"/>
  <c r="E69" i="1"/>
  <c r="G69" i="1"/>
  <c r="I69" i="1" s="1"/>
  <c r="H69" i="1" s="1"/>
  <c r="C154" i="2" l="1"/>
  <c r="D154" i="2"/>
  <c r="F154" i="2"/>
  <c r="C166" i="2"/>
  <c r="D166" i="2"/>
  <c r="F166" i="2"/>
  <c r="E77" i="1"/>
  <c r="G77" i="1"/>
  <c r="I77" i="1" s="1"/>
  <c r="H77" i="1" s="1"/>
  <c r="D6" i="2" l="1"/>
  <c r="D4" i="2"/>
  <c r="D5" i="2"/>
  <c r="D9" i="2"/>
  <c r="D7" i="2"/>
  <c r="D8" i="2"/>
  <c r="D12" i="2"/>
  <c r="D13" i="2"/>
  <c r="D14" i="2"/>
  <c r="D18" i="2"/>
  <c r="D15" i="2"/>
  <c r="D16" i="2"/>
  <c r="D17" i="2"/>
  <c r="D10" i="2"/>
  <c r="D11" i="2"/>
  <c r="D22" i="2"/>
  <c r="D23" i="2"/>
  <c r="D24" i="2"/>
  <c r="D31" i="2"/>
  <c r="D25" i="2"/>
  <c r="D26" i="2"/>
  <c r="D19" i="2"/>
  <c r="D32" i="2"/>
  <c r="D27" i="2"/>
  <c r="D28" i="2"/>
  <c r="D29" i="2"/>
  <c r="D30" i="2"/>
  <c r="D20" i="2"/>
  <c r="D21" i="2"/>
  <c r="D37" i="2"/>
  <c r="D38" i="2"/>
  <c r="D39" i="2"/>
  <c r="D46" i="2"/>
  <c r="D40" i="2"/>
  <c r="D41" i="2"/>
  <c r="D33" i="2"/>
  <c r="D47" i="2"/>
  <c r="D42" i="2"/>
  <c r="D43" i="2"/>
  <c r="D44" i="2"/>
  <c r="D45" i="2"/>
  <c r="D35" i="2"/>
  <c r="D34" i="2"/>
  <c r="D36" i="2"/>
  <c r="D48" i="2"/>
  <c r="D49" i="2"/>
  <c r="D50" i="2"/>
  <c r="D60" i="2"/>
  <c r="D51" i="2"/>
  <c r="D52" i="2"/>
  <c r="D61" i="2"/>
  <c r="D53" i="2"/>
  <c r="D54" i="2"/>
  <c r="D55" i="2"/>
  <c r="D56" i="2"/>
  <c r="D57" i="2"/>
  <c r="D58" i="2"/>
  <c r="D59" i="2"/>
  <c r="D66" i="2"/>
  <c r="D67" i="2"/>
  <c r="D68" i="2"/>
  <c r="D79" i="2"/>
  <c r="D69" i="2"/>
  <c r="D70" i="2"/>
  <c r="D62" i="2"/>
  <c r="D80" i="2"/>
  <c r="D71" i="2"/>
  <c r="D72" i="2"/>
  <c r="D73" i="2"/>
  <c r="D74" i="2"/>
  <c r="D75" i="2"/>
  <c r="D76" i="2"/>
  <c r="D64" i="2"/>
  <c r="D63" i="2"/>
  <c r="D65" i="2"/>
  <c r="D77" i="2"/>
  <c r="D78" i="2"/>
  <c r="D86" i="2"/>
  <c r="D87" i="2"/>
  <c r="D88" i="2"/>
  <c r="D104" i="2"/>
  <c r="D89" i="2"/>
  <c r="D90" i="2"/>
  <c r="D81" i="2"/>
  <c r="D82" i="2"/>
  <c r="D105" i="2"/>
  <c r="D91" i="2"/>
  <c r="D92" i="2"/>
  <c r="D93" i="2"/>
  <c r="D94" i="2"/>
  <c r="D95" i="2"/>
  <c r="D96" i="2"/>
  <c r="D97" i="2"/>
  <c r="D98" i="2"/>
  <c r="D99" i="2"/>
  <c r="D100" i="2"/>
  <c r="D84" i="2"/>
  <c r="D101" i="2"/>
  <c r="D102" i="2"/>
  <c r="D85" i="2"/>
  <c r="D83" i="2"/>
  <c r="D103" i="2"/>
  <c r="D109" i="2"/>
  <c r="D110" i="2"/>
  <c r="D120" i="2"/>
  <c r="D106" i="2"/>
  <c r="D121" i="2"/>
  <c r="D111" i="2"/>
  <c r="D112" i="2"/>
  <c r="D113" i="2"/>
  <c r="D114" i="2"/>
  <c r="D115" i="2"/>
  <c r="D116" i="2"/>
  <c r="D117" i="2"/>
  <c r="D107" i="2"/>
  <c r="D118" i="2"/>
  <c r="D119" i="2"/>
  <c r="D108" i="2"/>
  <c r="D128" i="2"/>
  <c r="D136" i="2"/>
  <c r="D122" i="2"/>
  <c r="D137" i="2"/>
  <c r="D129" i="2"/>
  <c r="D130" i="2"/>
  <c r="D123" i="2"/>
  <c r="D131" i="2"/>
  <c r="D132" i="2"/>
  <c r="D133" i="2"/>
  <c r="D124" i="2"/>
  <c r="D125" i="2"/>
  <c r="D135" i="2"/>
  <c r="D126" i="2"/>
  <c r="D127" i="2"/>
  <c r="D134" i="2"/>
  <c r="D155" i="2"/>
  <c r="D140" i="2"/>
  <c r="D143" i="2"/>
  <c r="D138" i="2"/>
  <c r="D145" i="2"/>
  <c r="D146" i="2"/>
  <c r="D157" i="2"/>
  <c r="D158" i="2"/>
  <c r="D159" i="2"/>
  <c r="D147" i="2"/>
  <c r="D139" i="2"/>
  <c r="D148" i="2"/>
  <c r="D156" i="2"/>
  <c r="D149" i="2"/>
  <c r="D150" i="2"/>
  <c r="D151" i="2"/>
  <c r="D152" i="2"/>
  <c r="D141" i="2"/>
  <c r="D153" i="2"/>
  <c r="D144" i="2"/>
  <c r="C6" i="2"/>
  <c r="C4" i="2"/>
  <c r="C5" i="2"/>
  <c r="C9" i="2"/>
  <c r="C7" i="2"/>
  <c r="C8" i="2"/>
  <c r="C12" i="2"/>
  <c r="C13" i="2"/>
  <c r="C14" i="2"/>
  <c r="C18" i="2"/>
  <c r="C15" i="2"/>
  <c r="C16" i="2"/>
  <c r="C17" i="2"/>
  <c r="C10" i="2"/>
  <c r="C11" i="2"/>
  <c r="C22" i="2"/>
  <c r="C23" i="2"/>
  <c r="C24" i="2"/>
  <c r="C31" i="2"/>
  <c r="C25" i="2"/>
  <c r="C26" i="2"/>
  <c r="C19" i="2"/>
  <c r="C32" i="2"/>
  <c r="C27" i="2"/>
  <c r="C28" i="2"/>
  <c r="C29" i="2"/>
  <c r="C30" i="2"/>
  <c r="C20" i="2"/>
  <c r="C21" i="2"/>
  <c r="C37" i="2"/>
  <c r="C38" i="2"/>
  <c r="C39" i="2"/>
  <c r="C46" i="2"/>
  <c r="C40" i="2"/>
  <c r="C41" i="2"/>
  <c r="C33" i="2"/>
  <c r="C47" i="2"/>
  <c r="C42" i="2"/>
  <c r="C43" i="2"/>
  <c r="C44" i="2"/>
  <c r="C45" i="2"/>
  <c r="C35" i="2"/>
  <c r="C34" i="2"/>
  <c r="C36" i="2"/>
  <c r="C48" i="2"/>
  <c r="C49" i="2"/>
  <c r="C50" i="2"/>
  <c r="C60" i="2"/>
  <c r="C51" i="2"/>
  <c r="C52" i="2"/>
  <c r="C61" i="2"/>
  <c r="C53" i="2"/>
  <c r="C54" i="2"/>
  <c r="C55" i="2"/>
  <c r="C56" i="2"/>
  <c r="C57" i="2"/>
  <c r="C58" i="2"/>
  <c r="C59" i="2"/>
  <c r="C66" i="2"/>
  <c r="C67" i="2"/>
  <c r="C68" i="2"/>
  <c r="C79" i="2"/>
  <c r="C69" i="2"/>
  <c r="C70" i="2"/>
  <c r="C62" i="2"/>
  <c r="C80" i="2"/>
  <c r="C71" i="2"/>
  <c r="C72" i="2"/>
  <c r="C73" i="2"/>
  <c r="C74" i="2"/>
  <c r="C75" i="2"/>
  <c r="C76" i="2"/>
  <c r="C64" i="2"/>
  <c r="C63" i="2"/>
  <c r="C65" i="2"/>
  <c r="C77" i="2"/>
  <c r="C78" i="2"/>
  <c r="C86" i="2"/>
  <c r="C87" i="2"/>
  <c r="C88" i="2"/>
  <c r="C104" i="2"/>
  <c r="C89" i="2"/>
  <c r="C90" i="2"/>
  <c r="C81" i="2"/>
  <c r="C82" i="2"/>
  <c r="C105" i="2"/>
  <c r="C91" i="2"/>
  <c r="C92" i="2"/>
  <c r="C93" i="2"/>
  <c r="C94" i="2"/>
  <c r="C95" i="2"/>
  <c r="C96" i="2"/>
  <c r="C97" i="2"/>
  <c r="C98" i="2"/>
  <c r="C99" i="2"/>
  <c r="C100" i="2"/>
  <c r="C84" i="2"/>
  <c r="C101" i="2"/>
  <c r="C102" i="2"/>
  <c r="C85" i="2"/>
  <c r="C83" i="2"/>
  <c r="C103" i="2"/>
  <c r="C109" i="2"/>
  <c r="C110" i="2"/>
  <c r="C120" i="2"/>
  <c r="C106" i="2"/>
  <c r="C121" i="2"/>
  <c r="C111" i="2"/>
  <c r="C112" i="2"/>
  <c r="C113" i="2"/>
  <c r="C114" i="2"/>
  <c r="C115" i="2"/>
  <c r="C116" i="2"/>
  <c r="C117" i="2"/>
  <c r="C107" i="2"/>
  <c r="C118" i="2"/>
  <c r="C119" i="2"/>
  <c r="C108" i="2"/>
  <c r="C128" i="2"/>
  <c r="C136" i="2"/>
  <c r="C122" i="2"/>
  <c r="C137" i="2"/>
  <c r="C129" i="2"/>
  <c r="C130" i="2"/>
  <c r="C123" i="2"/>
  <c r="C131" i="2"/>
  <c r="C132" i="2"/>
  <c r="C133" i="2"/>
  <c r="C124" i="2"/>
  <c r="C125" i="2"/>
  <c r="C135" i="2"/>
  <c r="C126" i="2"/>
  <c r="C127" i="2"/>
  <c r="C134" i="2"/>
  <c r="C155" i="2"/>
  <c r="C140" i="2"/>
  <c r="C143" i="2"/>
  <c r="C138" i="2"/>
  <c r="C145" i="2"/>
  <c r="C146" i="2"/>
  <c r="C157" i="2"/>
  <c r="C158" i="2"/>
  <c r="C159" i="2"/>
  <c r="C147" i="2"/>
  <c r="C139" i="2"/>
  <c r="C148" i="2"/>
  <c r="C156" i="2"/>
  <c r="C149" i="2"/>
  <c r="C150" i="2"/>
  <c r="C151" i="2"/>
  <c r="C152" i="2"/>
  <c r="C141" i="2"/>
  <c r="C153" i="2"/>
  <c r="C144" i="2"/>
  <c r="F144" i="2" l="1"/>
  <c r="E68" i="1"/>
  <c r="G68" i="1"/>
  <c r="I68" i="1" s="1"/>
  <c r="H68" i="1" s="1"/>
  <c r="E67" i="1" l="1"/>
  <c r="G67" i="1"/>
  <c r="I67" i="1" s="1"/>
  <c r="F150" i="2"/>
  <c r="F151" i="2"/>
  <c r="F152" i="2"/>
  <c r="F141" i="2"/>
  <c r="F153" i="2"/>
  <c r="F149" i="2"/>
  <c r="F156" i="2"/>
  <c r="F148" i="2"/>
  <c r="F139" i="2"/>
  <c r="F147" i="2"/>
  <c r="F159" i="2"/>
  <c r="F158" i="2"/>
  <c r="E66" i="1"/>
  <c r="G66" i="1"/>
  <c r="I66" i="1" s="1"/>
  <c r="E65" i="1"/>
  <c r="G65" i="1"/>
  <c r="I65" i="1" s="1"/>
  <c r="E64" i="1"/>
  <c r="G64" i="1"/>
  <c r="I64" i="1" s="1"/>
  <c r="H64" i="1" s="1"/>
  <c r="F157" i="2"/>
  <c r="E76" i="1"/>
  <c r="G76" i="1"/>
  <c r="I76" i="1" s="1"/>
  <c r="H76" i="1" s="1"/>
  <c r="F146" i="2"/>
  <c r="F145" i="2"/>
  <c r="E63" i="1"/>
  <c r="G63" i="1"/>
  <c r="I63" i="1" s="1"/>
  <c r="H63" i="1" s="1"/>
  <c r="E62" i="1"/>
  <c r="G62" i="1"/>
  <c r="I62" i="1" s="1"/>
  <c r="H62" i="1" s="1"/>
  <c r="H65" i="1" l="1"/>
  <c r="H67" i="1"/>
  <c r="H66" i="1"/>
  <c r="F134" i="2"/>
  <c r="F138" i="2" l="1"/>
  <c r="E61" i="1" l="1"/>
  <c r="G61" i="1"/>
  <c r="I61" i="1" s="1"/>
  <c r="E60" i="1"/>
  <c r="G60" i="1"/>
  <c r="I60" i="1" s="1"/>
  <c r="H61" i="1" l="1"/>
  <c r="H60" i="1"/>
  <c r="E59" i="1"/>
  <c r="G59" i="1"/>
  <c r="I59" i="1" s="1"/>
  <c r="F143" i="2"/>
  <c r="E58" i="1"/>
  <c r="G58" i="1"/>
  <c r="I58" i="1" s="1"/>
  <c r="F140" i="2"/>
  <c r="H59" i="1" l="1"/>
  <c r="H58" i="1"/>
  <c r="F155" i="2"/>
  <c r="F127" i="2" l="1"/>
  <c r="E57" i="1" l="1"/>
  <c r="G57" i="1"/>
  <c r="I57" i="1" s="1"/>
  <c r="F12" i="2"/>
  <c r="F22" i="2"/>
  <c r="F37" i="2"/>
  <c r="F48" i="2"/>
  <c r="F66" i="2"/>
  <c r="F86" i="2"/>
  <c r="F109" i="2"/>
  <c r="F23" i="2"/>
  <c r="F38" i="2"/>
  <c r="F49" i="2"/>
  <c r="F67" i="2"/>
  <c r="F87" i="2"/>
  <c r="F24" i="2"/>
  <c r="F39" i="2"/>
  <c r="F50" i="2"/>
  <c r="F68" i="2"/>
  <c r="F88" i="2"/>
  <c r="F110" i="2"/>
  <c r="F31" i="2"/>
  <c r="F46" i="2"/>
  <c r="F60" i="2"/>
  <c r="F79" i="2"/>
  <c r="F104" i="2"/>
  <c r="F120" i="2"/>
  <c r="F13" i="2"/>
  <c r="F25" i="2"/>
  <c r="F40" i="2"/>
  <c r="F51" i="2"/>
  <c r="F69" i="2"/>
  <c r="F89" i="2"/>
  <c r="F14" i="2"/>
  <c r="F26" i="2"/>
  <c r="F41" i="2"/>
  <c r="F52" i="2"/>
  <c r="F70" i="2"/>
  <c r="F90" i="2"/>
  <c r="F19" i="2"/>
  <c r="F33" i="2"/>
  <c r="F62" i="2"/>
  <c r="F81" i="2"/>
  <c r="F82" i="2"/>
  <c r="F106" i="2"/>
  <c r="F6" i="2"/>
  <c r="F9" i="2"/>
  <c r="F18" i="2"/>
  <c r="F32" i="2"/>
  <c r="F47" i="2"/>
  <c r="F61" i="2"/>
  <c r="F80" i="2"/>
  <c r="F105" i="2"/>
  <c r="F121" i="2"/>
  <c r="F42" i="2"/>
  <c r="F53" i="2"/>
  <c r="F71" i="2"/>
  <c r="F91" i="2"/>
  <c r="F54" i="2"/>
  <c r="F27" i="2"/>
  <c r="F55" i="2"/>
  <c r="F72" i="2"/>
  <c r="F111" i="2"/>
  <c r="F56" i="2"/>
  <c r="F73" i="2"/>
  <c r="F92" i="2"/>
  <c r="F112" i="2"/>
  <c r="F74" i="2"/>
  <c r="F93" i="2"/>
  <c r="F113" i="2"/>
  <c r="F75" i="2"/>
  <c r="F94" i="2"/>
  <c r="F114" i="2"/>
  <c r="F76" i="2"/>
  <c r="F95" i="2"/>
  <c r="F115" i="2"/>
  <c r="F64" i="2"/>
  <c r="F96" i="2"/>
  <c r="F63" i="2"/>
  <c r="F65" i="2"/>
  <c r="F97" i="2"/>
  <c r="F116" i="2"/>
  <c r="F98" i="2"/>
  <c r="F99" i="2"/>
  <c r="F100" i="2"/>
  <c r="F117" i="2"/>
  <c r="F84" i="2"/>
  <c r="F107" i="2"/>
  <c r="F101" i="2"/>
  <c r="F118" i="2"/>
  <c r="F102" i="2"/>
  <c r="F85" i="2"/>
  <c r="F83" i="2"/>
  <c r="F119" i="2"/>
  <c r="F108" i="2"/>
  <c r="F4" i="2"/>
  <c r="F7" i="2"/>
  <c r="F15" i="2"/>
  <c r="F28" i="2"/>
  <c r="F43" i="2"/>
  <c r="F57" i="2"/>
  <c r="F77" i="2"/>
  <c r="F103" i="2"/>
  <c r="F5" i="2"/>
  <c r="F8" i="2"/>
  <c r="F16" i="2"/>
  <c r="F29" i="2"/>
  <c r="F44" i="2"/>
  <c r="F58" i="2"/>
  <c r="F78" i="2"/>
  <c r="F17" i="2"/>
  <c r="F30" i="2"/>
  <c r="F45" i="2"/>
  <c r="F59" i="2"/>
  <c r="F35" i="2"/>
  <c r="F10" i="2"/>
  <c r="F20" i="2"/>
  <c r="F34" i="2"/>
  <c r="F36" i="2"/>
  <c r="F11" i="2"/>
  <c r="F21" i="2"/>
  <c r="F128" i="2"/>
  <c r="F136" i="2"/>
  <c r="F122" i="2"/>
  <c r="F137" i="2"/>
  <c r="F129" i="2"/>
  <c r="F130" i="2"/>
  <c r="F123" i="2"/>
  <c r="F131" i="2"/>
  <c r="F132" i="2"/>
  <c r="F133" i="2"/>
  <c r="F124" i="2"/>
  <c r="F125" i="2"/>
  <c r="F135" i="2"/>
  <c r="F126" i="2"/>
  <c r="E4" i="1"/>
  <c r="E5" i="1"/>
  <c r="E6" i="1"/>
  <c r="E7" i="1"/>
  <c r="E8" i="1"/>
  <c r="E9" i="1"/>
  <c r="E10" i="1"/>
  <c r="E11" i="1"/>
  <c r="E12" i="1"/>
  <c r="E13" i="1"/>
  <c r="E14" i="1"/>
  <c r="E15" i="1"/>
  <c r="E16" i="1"/>
  <c r="E17" i="1"/>
  <c r="E73" i="1"/>
  <c r="E18" i="1"/>
  <c r="E19" i="1"/>
  <c r="E20" i="1"/>
  <c r="E21" i="1"/>
  <c r="E22" i="1"/>
  <c r="E23" i="1"/>
  <c r="E24" i="1"/>
  <c r="E25" i="1"/>
  <c r="E26" i="1"/>
  <c r="E27" i="1"/>
  <c r="E28" i="1"/>
  <c r="E29" i="1"/>
  <c r="E30" i="1"/>
  <c r="E31" i="1"/>
  <c r="E32" i="1"/>
  <c r="E33" i="1"/>
  <c r="E34" i="1"/>
  <c r="E35" i="1"/>
  <c r="E36" i="1"/>
  <c r="E37" i="1"/>
  <c r="E38" i="1"/>
  <c r="E39" i="1"/>
  <c r="E40" i="1"/>
  <c r="E41" i="1"/>
  <c r="E42" i="1"/>
  <c r="E74" i="1"/>
  <c r="E43" i="1"/>
  <c r="E44" i="1"/>
  <c r="E45" i="1"/>
  <c r="E75" i="1"/>
  <c r="E46" i="1"/>
  <c r="E47" i="1"/>
  <c r="E48" i="1"/>
  <c r="E49" i="1"/>
  <c r="E50" i="1"/>
  <c r="E51" i="1"/>
  <c r="E52" i="1"/>
  <c r="E53" i="1"/>
  <c r="E54" i="1"/>
  <c r="E55" i="1"/>
  <c r="E56" i="1"/>
  <c r="G56" i="1"/>
  <c r="I56" i="1" s="1"/>
  <c r="G55" i="1"/>
  <c r="I55" i="1" s="1"/>
  <c r="G54" i="1"/>
  <c r="I54" i="1" s="1"/>
  <c r="G53" i="1"/>
  <c r="I53" i="1" s="1"/>
  <c r="G52" i="1"/>
  <c r="I52" i="1" s="1"/>
  <c r="H54" i="1" l="1"/>
  <c r="H52" i="1"/>
  <c r="H57" i="1"/>
  <c r="H55" i="1"/>
  <c r="H53" i="1"/>
  <c r="H56" i="1"/>
  <c r="G51" i="1"/>
  <c r="I51" i="1" s="1"/>
  <c r="H51" i="1" l="1"/>
  <c r="G50" i="1" l="1"/>
  <c r="I50" i="1" s="1"/>
  <c r="J74" i="1"/>
  <c r="H50" i="1" l="1"/>
  <c r="G4" i="1"/>
  <c r="G5" i="1"/>
  <c r="I5" i="1" s="1"/>
  <c r="G6" i="1"/>
  <c r="I6" i="1" s="1"/>
  <c r="G7" i="1"/>
  <c r="I7" i="1" s="1"/>
  <c r="G8" i="1"/>
  <c r="I8" i="1" s="1"/>
  <c r="G9" i="1"/>
  <c r="I9" i="1" s="1"/>
  <c r="G10" i="1"/>
  <c r="I10" i="1" s="1"/>
  <c r="G11" i="1"/>
  <c r="I11" i="1" s="1"/>
  <c r="G12" i="1"/>
  <c r="I12" i="1" s="1"/>
  <c r="G13" i="1"/>
  <c r="I13" i="1" s="1"/>
  <c r="G14" i="1"/>
  <c r="I14" i="1" s="1"/>
  <c r="G15" i="1"/>
  <c r="I15" i="1" s="1"/>
  <c r="G16" i="1"/>
  <c r="I16" i="1" s="1"/>
  <c r="G17" i="1"/>
  <c r="I17" i="1" s="1"/>
  <c r="G73" i="1"/>
  <c r="G18" i="1"/>
  <c r="I18" i="1" s="1"/>
  <c r="G19" i="1"/>
  <c r="I19" i="1" s="1"/>
  <c r="G20" i="1"/>
  <c r="I20" i="1" s="1"/>
  <c r="G21" i="1"/>
  <c r="I21" i="1" s="1"/>
  <c r="G22" i="1"/>
  <c r="I22" i="1" s="1"/>
  <c r="G23" i="1"/>
  <c r="I23" i="1" s="1"/>
  <c r="G24" i="1"/>
  <c r="I24" i="1" s="1"/>
  <c r="G25" i="1"/>
  <c r="I25" i="1" s="1"/>
  <c r="G26" i="1"/>
  <c r="I26" i="1" s="1"/>
  <c r="G27" i="1"/>
  <c r="I27" i="1" s="1"/>
  <c r="G28" i="1"/>
  <c r="I28" i="1" s="1"/>
  <c r="G29" i="1"/>
  <c r="I29" i="1" s="1"/>
  <c r="G30" i="1"/>
  <c r="I30" i="1" s="1"/>
  <c r="G31" i="1"/>
  <c r="I31" i="1" s="1"/>
  <c r="G32" i="1"/>
  <c r="I32" i="1" s="1"/>
  <c r="G33" i="1"/>
  <c r="I33" i="1" s="1"/>
  <c r="G34" i="1"/>
  <c r="I34" i="1" s="1"/>
  <c r="G35" i="1"/>
  <c r="I35" i="1" s="1"/>
  <c r="G36" i="1"/>
  <c r="I36" i="1" s="1"/>
  <c r="G37" i="1"/>
  <c r="I37" i="1" s="1"/>
  <c r="G38" i="1"/>
  <c r="I38" i="1" s="1"/>
  <c r="G39" i="1"/>
  <c r="I39" i="1" s="1"/>
  <c r="G40" i="1"/>
  <c r="I40" i="1" s="1"/>
  <c r="G41" i="1"/>
  <c r="I41" i="1" s="1"/>
  <c r="G42" i="1"/>
  <c r="I42" i="1" s="1"/>
  <c r="G74" i="1"/>
  <c r="I74" i="1" s="1"/>
  <c r="G43" i="1"/>
  <c r="I43" i="1" s="1"/>
  <c r="G44" i="1"/>
  <c r="I44" i="1" s="1"/>
  <c r="G45" i="1"/>
  <c r="I45" i="1" s="1"/>
  <c r="G75" i="1"/>
  <c r="I75" i="1" s="1"/>
  <c r="G46" i="1"/>
  <c r="I46" i="1" s="1"/>
  <c r="G47" i="1"/>
  <c r="I47" i="1" s="1"/>
  <c r="G48" i="1"/>
  <c r="I48" i="1" s="1"/>
  <c r="G49" i="1"/>
  <c r="I49" i="1" s="1"/>
  <c r="G87" i="1" l="1"/>
  <c r="I73" i="1"/>
  <c r="I4" i="1"/>
  <c r="I87" i="1" s="1"/>
  <c r="H49" i="1"/>
  <c r="H48" i="1"/>
  <c r="H47" i="1"/>
  <c r="J47" i="1" l="1"/>
  <c r="H46" i="1"/>
  <c r="H75" i="1"/>
  <c r="H45" i="1" l="1"/>
  <c r="H44" i="1" l="1"/>
  <c r="H41" i="1"/>
  <c r="H37" i="1"/>
  <c r="H33" i="1"/>
  <c r="H29" i="1"/>
  <c r="H25" i="1"/>
  <c r="H21" i="1"/>
  <c r="H73" i="1"/>
  <c r="H14" i="1"/>
  <c r="H10" i="1"/>
  <c r="H6" i="1"/>
  <c r="H43" i="1"/>
  <c r="H40" i="1"/>
  <c r="H36" i="1"/>
  <c r="H32" i="1"/>
  <c r="H28" i="1"/>
  <c r="H24" i="1"/>
  <c r="H20" i="1"/>
  <c r="H17" i="1"/>
  <c r="H13" i="1"/>
  <c r="H9" i="1"/>
  <c r="H5" i="1"/>
  <c r="H39" i="1"/>
  <c r="H35" i="1"/>
  <c r="H31" i="1"/>
  <c r="H23" i="1"/>
  <c r="H19" i="1"/>
  <c r="H16" i="1"/>
  <c r="H8" i="1"/>
  <c r="H74" i="1"/>
  <c r="H27" i="1"/>
  <c r="H12" i="1"/>
  <c r="H4" i="1"/>
  <c r="H42" i="1"/>
  <c r="H38" i="1"/>
  <c r="H34" i="1"/>
  <c r="H30" i="1"/>
  <c r="H26" i="1"/>
  <c r="H22" i="1"/>
  <c r="H18" i="1"/>
  <c r="H15" i="1"/>
  <c r="H11" i="1"/>
  <c r="H7" i="1"/>
  <c r="K75" i="1" l="1"/>
  <c r="K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99F21D-EE0B-4071-B073-EBCA93750FC3}" keepAlive="1" name="Query - Pinjaman" description="Connection to the 'Pinjaman' query in the workbook." type="5" refreshedVersion="8" background="1">
    <dbPr connection="Provider=Microsoft.Mashup.OleDb.1;Data Source=$Workbook$;Location=Pinjaman;Extended Properties=&quot;&quot;" command="SELECT * FROM [Pinjaman]"/>
  </connection>
  <connection id="2" xr16:uid="{993EEC11-2D6A-49F5-9815-98DDB0EAE3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3EF0DBC-5FE8-44F8-935D-AB1DD52919EF}" name="WorksheetConnection_PLANNING PINJAMAN.xlsx!Cicilan" type="102" refreshedVersion="8" minRefreshableVersion="5">
    <extLst>
      <ext xmlns:x15="http://schemas.microsoft.com/office/spreadsheetml/2010/11/main" uri="{DE250136-89BD-433C-8126-D09CA5730AF9}">
        <x15:connection id="Cicilan">
          <x15:rangePr sourceName="_xlcn.WorksheetConnection_PLANNINGPINJAMAN.xlsxCicilan1"/>
        </x15:connection>
      </ext>
    </extLst>
  </connection>
  <connection id="4" xr16:uid="{3F56E28D-DE71-4B01-88AC-1E4053E77254}" name="WorksheetConnection_PLANNING PINJAMAN.xlsx!Pinjaman" type="102" refreshedVersion="8" minRefreshableVersion="5">
    <extLst>
      <ext xmlns:x15="http://schemas.microsoft.com/office/spreadsheetml/2010/11/main" uri="{DE250136-89BD-433C-8126-D09CA5730AF9}">
        <x15:connection id="Pinjaman">
          <x15:rangePr sourceName="_xlcn.WorksheetConnection_PLANNINGPINJAMAN.xlsxPinjaman1"/>
        </x15:connection>
      </ext>
    </extLst>
  </connection>
  <connection id="5" xr16:uid="{F4CBF705-A628-4462-BCCD-E9B5E3572E20}" name="WorksheetConnection_Project_Potongan Pinjaman byVeren.xlsx!Table3" type="102" refreshedVersion="8" minRefreshableVersion="5">
    <extLst>
      <ext xmlns:x15="http://schemas.microsoft.com/office/spreadsheetml/2010/11/main" uri="{DE250136-89BD-433C-8126-D09CA5730AF9}">
        <x15:connection id="Table3">
          <x15:rangePr sourceName="_xlcn.WorksheetConnection_Project_PotonganPinjamanbyVeren.xlsxTable3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Pinjaman].[Tanggal Pinjaman (Month)].[All]}"/>
    <s v="{[Pinjaman].[Status].[All]}"/>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<sst xmlns="http://schemas.openxmlformats.org/spreadsheetml/2006/main" count="1208" uniqueCount="222">
  <si>
    <t>Nama</t>
  </si>
  <si>
    <t>Jumlah Pinjaman</t>
  </si>
  <si>
    <t>Cicilan per Bulan</t>
  </si>
  <si>
    <t>Jumlah Cicilan</t>
  </si>
  <si>
    <t>TF</t>
  </si>
  <si>
    <t>P001</t>
  </si>
  <si>
    <t>P002</t>
  </si>
  <si>
    <t>P003</t>
  </si>
  <si>
    <t>P004</t>
  </si>
  <si>
    <t>ID</t>
  </si>
  <si>
    <t>P005</t>
  </si>
  <si>
    <t>P006</t>
  </si>
  <si>
    <t>P007</t>
  </si>
  <si>
    <t>P008</t>
  </si>
  <si>
    <t>P009</t>
  </si>
  <si>
    <t>P010</t>
  </si>
  <si>
    <t>P012</t>
  </si>
  <si>
    <t>P013</t>
  </si>
  <si>
    <t>P014</t>
  </si>
  <si>
    <t>P015</t>
  </si>
  <si>
    <t>Cabang</t>
  </si>
  <si>
    <t>P016</t>
  </si>
  <si>
    <t>P017</t>
  </si>
  <si>
    <t>P018</t>
  </si>
  <si>
    <t>P019</t>
  </si>
  <si>
    <t>Partial Gaji</t>
  </si>
  <si>
    <t>ISHAQ</t>
  </si>
  <si>
    <t>P020</t>
  </si>
  <si>
    <t>P021</t>
  </si>
  <si>
    <t>P022</t>
  </si>
  <si>
    <t>P023</t>
  </si>
  <si>
    <t>P024</t>
  </si>
  <si>
    <t>P025</t>
  </si>
  <si>
    <t>P026</t>
  </si>
  <si>
    <t>P027</t>
  </si>
  <si>
    <t>P028</t>
  </si>
  <si>
    <t>MUJIONO</t>
  </si>
  <si>
    <t>Periode Gaji</t>
  </si>
  <si>
    <t>Status</t>
  </si>
  <si>
    <t>WAHONO</t>
  </si>
  <si>
    <t>P029</t>
  </si>
  <si>
    <t>P030</t>
  </si>
  <si>
    <t>P031</t>
  </si>
  <si>
    <t>P032</t>
  </si>
  <si>
    <t>P033</t>
  </si>
  <si>
    <t>P034</t>
  </si>
  <si>
    <t>P035</t>
  </si>
  <si>
    <t>P036</t>
  </si>
  <si>
    <t>P037</t>
  </si>
  <si>
    <t>P038</t>
  </si>
  <si>
    <t>P039</t>
  </si>
  <si>
    <t>P040</t>
  </si>
  <si>
    <t>P041</t>
  </si>
  <si>
    <t>P042</t>
  </si>
  <si>
    <t>P043</t>
  </si>
  <si>
    <t>P044</t>
  </si>
  <si>
    <t>Payment Methode</t>
  </si>
  <si>
    <t>Paid Off</t>
  </si>
  <si>
    <t>Remaining</t>
  </si>
  <si>
    <t>Tanggal Pinjaman</t>
  </si>
  <si>
    <t>All</t>
  </si>
  <si>
    <t>P045</t>
  </si>
  <si>
    <t>Premi Juni</t>
  </si>
  <si>
    <t>Premi Mei</t>
  </si>
  <si>
    <t>Premi April</t>
  </si>
  <si>
    <t>Premi Juli</t>
  </si>
  <si>
    <t>Tanggal Pinjaman (Month)</t>
  </si>
  <si>
    <t>P046</t>
  </si>
  <si>
    <t>HO</t>
  </si>
  <si>
    <t>P047</t>
  </si>
  <si>
    <t xml:space="preserve"> Pinjaman</t>
  </si>
  <si>
    <t>P048</t>
  </si>
  <si>
    <t>Clear</t>
  </si>
  <si>
    <t>Pending</t>
  </si>
  <si>
    <t>Note</t>
  </si>
  <si>
    <t>Coloum "Paid off" hanya menghitung jumlah cicilan yang statusnya "Clear" -&gt; berarti sudah dilakukan pemotongan pd gaji</t>
  </si>
  <si>
    <t>P049</t>
  </si>
  <si>
    <t>P050</t>
  </si>
  <si>
    <t>Berapa kali</t>
  </si>
  <si>
    <t>P051</t>
  </si>
  <si>
    <t>P052</t>
  </si>
  <si>
    <t>P053</t>
  </si>
  <si>
    <t>P054</t>
  </si>
  <si>
    <t>P055</t>
  </si>
  <si>
    <t>P056</t>
  </si>
  <si>
    <t>P057</t>
  </si>
  <si>
    <t xml:space="preserve"> </t>
  </si>
  <si>
    <t>Slicer</t>
  </si>
  <si>
    <t>P058</t>
  </si>
  <si>
    <t>P059</t>
  </si>
  <si>
    <t>P060</t>
  </si>
  <si>
    <t>P061</t>
  </si>
  <si>
    <t>P062</t>
  </si>
  <si>
    <t>Premi Agst</t>
  </si>
  <si>
    <t xml:space="preserve"> Paid Off</t>
  </si>
  <si>
    <t xml:space="preserve"> Remaining</t>
  </si>
  <si>
    <t>P063</t>
  </si>
  <si>
    <t>P064</t>
  </si>
  <si>
    <t>Gaji Nov</t>
  </si>
  <si>
    <t>Gaji Des</t>
  </si>
  <si>
    <t>Gaji Jan</t>
  </si>
  <si>
    <t>Gaji Feb</t>
  </si>
  <si>
    <t>Gaji Mar</t>
  </si>
  <si>
    <t>Gaji Apr</t>
  </si>
  <si>
    <t>Gaji Mei</t>
  </si>
  <si>
    <t>Gaji Juni</t>
  </si>
  <si>
    <t>Gaji Juli</t>
  </si>
  <si>
    <t>Gaji Agst</t>
  </si>
  <si>
    <t>Gaji Sept</t>
  </si>
  <si>
    <t>Methode</t>
  </si>
  <si>
    <t>Gaji Okt</t>
  </si>
  <si>
    <t>P065</t>
  </si>
  <si>
    <t>Premi Sept</t>
  </si>
  <si>
    <t>P066</t>
  </si>
  <si>
    <t>ANDIKA</t>
  </si>
  <si>
    <t>P067</t>
  </si>
  <si>
    <t>P068</t>
  </si>
  <si>
    <t>PPA</t>
  </si>
  <si>
    <t>SSL</t>
  </si>
  <si>
    <t>SAP</t>
  </si>
  <si>
    <t>SIPIL</t>
  </si>
  <si>
    <t>P069</t>
  </si>
  <si>
    <t>P070</t>
  </si>
  <si>
    <t>HO Total</t>
  </si>
  <si>
    <t>PPA Total</t>
  </si>
  <si>
    <t>SAP Total</t>
  </si>
  <si>
    <t>SSL Total</t>
  </si>
  <si>
    <t>P071</t>
  </si>
  <si>
    <t>P072</t>
  </si>
  <si>
    <t>P073</t>
  </si>
  <si>
    <t>SIPIL Total</t>
  </si>
  <si>
    <t>'=MAX(--MID(Data_Kary[ID KARY];4;3))</t>
  </si>
  <si>
    <t>P074</t>
  </si>
  <si>
    <t>TRI YANTO</t>
  </si>
  <si>
    <t>P075</t>
  </si>
  <si>
    <t>P076</t>
  </si>
  <si>
    <t>P077</t>
  </si>
  <si>
    <t>P078</t>
  </si>
  <si>
    <t>P079</t>
  </si>
  <si>
    <t>P080</t>
  </si>
  <si>
    <t>P081</t>
  </si>
  <si>
    <t>SUKIMAN</t>
  </si>
  <si>
    <t>P082</t>
  </si>
  <si>
    <t>P083</t>
  </si>
  <si>
    <t>P084</t>
  </si>
  <si>
    <t>Payroll_SMB</t>
  </si>
  <si>
    <t>Payroll_SMB Total</t>
  </si>
  <si>
    <t>RO_SMB</t>
  </si>
  <si>
    <t>RO_SSL</t>
  </si>
  <si>
    <t>RO_SMB Total</t>
  </si>
  <si>
    <t>RO_SSL Total</t>
  </si>
  <si>
    <t>HAMAT</t>
  </si>
  <si>
    <t>HAE</t>
  </si>
  <si>
    <t>NOPI</t>
  </si>
  <si>
    <t>GORDON</t>
  </si>
  <si>
    <t>LAFU</t>
  </si>
  <si>
    <t>PUTRAKU</t>
  </si>
  <si>
    <t>HERRY</t>
  </si>
  <si>
    <t>BERKAH</t>
  </si>
  <si>
    <t>LARA</t>
  </si>
  <si>
    <t>OMAR</t>
  </si>
  <si>
    <t>GHANA</t>
  </si>
  <si>
    <t>DEDEN</t>
  </si>
  <si>
    <t xml:space="preserve">NATAN </t>
  </si>
  <si>
    <t>RATANA</t>
  </si>
  <si>
    <t>SETIA</t>
  </si>
  <si>
    <t>NALDI</t>
  </si>
  <si>
    <t>RONI</t>
  </si>
  <si>
    <t>UMBUBA</t>
  </si>
  <si>
    <t>ALIBA</t>
  </si>
  <si>
    <t xml:space="preserve">JAWANA </t>
  </si>
  <si>
    <t>YANTONO</t>
  </si>
  <si>
    <t>ALVI</t>
  </si>
  <si>
    <t>SATRIO</t>
  </si>
  <si>
    <t>WAWAN</t>
  </si>
  <si>
    <t>BABPUIR</t>
  </si>
  <si>
    <t>ANSYAH</t>
  </si>
  <si>
    <t>LANIA</t>
  </si>
  <si>
    <t>ARAHAN</t>
  </si>
  <si>
    <t>KASIH</t>
  </si>
  <si>
    <t>AMANAH</t>
  </si>
  <si>
    <t>ANTI HAE</t>
  </si>
  <si>
    <t xml:space="preserve"> TOBI</t>
  </si>
  <si>
    <t>DAWANA</t>
  </si>
  <si>
    <t>RIVAL</t>
  </si>
  <si>
    <t xml:space="preserve">ANA </t>
  </si>
  <si>
    <t>Bank A</t>
  </si>
  <si>
    <t>Bank B</t>
  </si>
  <si>
    <t>Bank C</t>
  </si>
  <si>
    <t>Bank D</t>
  </si>
  <si>
    <t>TIARA</t>
  </si>
  <si>
    <t>SOLEH</t>
  </si>
  <si>
    <t>JANA</t>
  </si>
  <si>
    <t>Sum of Jumlah Pinjaman</t>
  </si>
  <si>
    <t>Row Labels</t>
  </si>
  <si>
    <t>Column Labels</t>
  </si>
  <si>
    <t>Pinjam</t>
  </si>
  <si>
    <t>Months (Tanggal Pinjaman)</t>
  </si>
  <si>
    <t>Aug</t>
  </si>
  <si>
    <t>Site</t>
  </si>
  <si>
    <t>Loan Date</t>
  </si>
  <si>
    <t>Loan</t>
  </si>
  <si>
    <t>Salary Month</t>
  </si>
  <si>
    <t>JAWANA</t>
  </si>
  <si>
    <t>NATAN</t>
  </si>
  <si>
    <t>Total Deductions</t>
  </si>
  <si>
    <t>Installment</t>
  </si>
  <si>
    <t>Sep</t>
  </si>
  <si>
    <t>Oct</t>
  </si>
  <si>
    <t>Nov</t>
  </si>
  <si>
    <t>Dec</t>
  </si>
  <si>
    <t>Jan</t>
  </si>
  <si>
    <t>Feb</t>
  </si>
  <si>
    <t>Mar</t>
  </si>
  <si>
    <t>Apr</t>
  </si>
  <si>
    <t>May</t>
  </si>
  <si>
    <t>Jun</t>
  </si>
  <si>
    <t>Jul</t>
  </si>
  <si>
    <t>Employee</t>
  </si>
  <si>
    <t>Loan Amount</t>
  </si>
  <si>
    <t>Bank Transfer</t>
  </si>
  <si>
    <t>SALARY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</si>
</sst>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p&quot;* #,##0_-;\-&quot;Rp&quot;* #,##0_-;_-&quot;Rp&quot;* &quot;-&quot;_-;_-@_-"/>
    <numFmt numFmtId="41" formatCode="_-* #,##0_-;\-* #,##0_-;_-* &quot;-&quot;_-;_-@_-"/>
    <numFmt numFmtId="164" formatCode="[$-409]d\-mmm\-yy;@"/>
    <numFmt numFmtId="165" formatCode="[$-409]mmmm\-yy;@"/>
    <numFmt numFmtId="166" formatCode="[$-409]mmm\-yy;@"/>
    <numFmt numFmtId="167" formatCode="General\ &quot;X&quot;"/>
    <numFmt numFmtId="168" formatCode="_-&quot;Rp&quot;* #,##0.00_-;\-&quot;Rp&quot;* #,##0.00_-;_-&quot;Rp&quot;* &quot;-&quot;_-;_-@_-"/>
  </numFmts>
  <fonts count="29" x14ac:knownFonts="1">
    <font>
      <sz val="11"/>
      <color theme="1"/>
      <name val="Calibri"/>
      <family val="2"/>
      <scheme val="minor"/>
    </font>
    <font>
      <sz val="11"/>
      <color theme="1"/>
      <name val="Calibri"/>
      <family val="2"/>
      <scheme val="minor"/>
    </font>
    <font>
      <sz val="8"/>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sz val="10"/>
      <name val="Calibri"/>
      <family val="2"/>
      <scheme val="minor"/>
    </font>
    <font>
      <b/>
      <u/>
      <sz val="11"/>
      <color theme="1"/>
      <name val="Calibri"/>
      <family val="2"/>
      <scheme val="minor"/>
    </font>
    <font>
      <b/>
      <sz val="11"/>
      <color theme="0"/>
      <name val="Calibri"/>
      <family val="2"/>
      <scheme val="minor"/>
    </font>
    <font>
      <b/>
      <sz val="9"/>
      <color theme="0"/>
      <name val="Calibri"/>
      <family val="2"/>
      <scheme val="minor"/>
    </font>
    <font>
      <b/>
      <sz val="11"/>
      <color theme="6"/>
      <name val="Calibri"/>
      <family val="2"/>
      <scheme val="minor"/>
    </font>
    <font>
      <b/>
      <sz val="9"/>
      <color theme="6"/>
      <name val="Calibri"/>
      <family val="2"/>
      <scheme val="minor"/>
    </font>
    <font>
      <b/>
      <sz val="10"/>
      <color theme="1"/>
      <name val="Calibri"/>
      <family val="2"/>
      <scheme val="minor"/>
    </font>
    <font>
      <b/>
      <sz val="10"/>
      <color theme="0"/>
      <name val="Calibri"/>
      <family val="2"/>
      <scheme val="minor"/>
    </font>
    <font>
      <sz val="11"/>
      <color theme="5"/>
      <name val="Calibri"/>
      <family val="2"/>
      <scheme val="minor"/>
    </font>
    <font>
      <b/>
      <sz val="11"/>
      <color theme="5"/>
      <name val="Calibri"/>
      <family val="2"/>
      <scheme val="minor"/>
    </font>
    <font>
      <sz val="11"/>
      <color theme="2" tint="-0.249977111117893"/>
      <name val="Calibri"/>
      <family val="2"/>
      <scheme val="minor"/>
    </font>
    <font>
      <b/>
      <sz val="11"/>
      <color theme="2" tint="-0.249977111117893"/>
      <name val="Calibri"/>
      <family val="2"/>
      <scheme val="minor"/>
    </font>
    <font>
      <sz val="10"/>
      <color theme="2" tint="-0.249977111117893"/>
      <name val="Calibri"/>
      <family val="2"/>
      <scheme val="minor"/>
    </font>
    <font>
      <sz val="9"/>
      <color theme="2" tint="-0.249977111117893"/>
      <name val="Calibri"/>
      <family val="2"/>
      <scheme val="minor"/>
    </font>
    <font>
      <b/>
      <sz val="9"/>
      <color theme="2" tint="-0.249977111117893"/>
      <name val="Calibri"/>
      <family val="2"/>
      <scheme val="minor"/>
    </font>
    <font>
      <sz val="10"/>
      <color rgb="FFFF0000"/>
      <name val="Calibri"/>
      <family val="2"/>
      <scheme val="minor"/>
    </font>
    <font>
      <b/>
      <sz val="10"/>
      <color theme="3" tint="-0.499984740745262"/>
      <name val="Calibri"/>
      <family val="2"/>
      <scheme val="minor"/>
    </font>
    <font>
      <b/>
      <sz val="11"/>
      <color rgb="FFFFC3BD"/>
      <name val="Calibri"/>
      <family val="2"/>
      <scheme val="minor"/>
    </font>
    <font>
      <sz val="10"/>
      <color theme="3"/>
      <name val="Calibri"/>
      <family val="2"/>
      <scheme val="minor"/>
    </font>
    <font>
      <b/>
      <sz val="10"/>
      <color theme="3"/>
      <name val="Calibri"/>
      <family val="2"/>
      <scheme val="minor"/>
    </font>
    <font>
      <sz val="11"/>
      <color theme="1"/>
      <name val="ADLaM Display"/>
    </font>
    <font>
      <b/>
      <sz val="11"/>
      <color theme="1"/>
      <name val="Calibri"/>
      <family val="2"/>
      <scheme val="minor"/>
    </font>
    <font>
      <b/>
      <sz val="12"/>
      <color theme="1"/>
      <name val="Calibri"/>
      <family val="2"/>
      <scheme val="minor"/>
    </font>
  </fonts>
  <fills count="12">
    <fill>
      <patternFill patternType="none"/>
    </fill>
    <fill>
      <patternFill patternType="gray125"/>
    </fill>
    <fill>
      <patternFill patternType="solid">
        <fgColor theme="6"/>
        <bgColor theme="6"/>
      </patternFill>
    </fill>
    <fill>
      <patternFill patternType="solid">
        <fgColor theme="5" tint="0.79998168889431442"/>
        <bgColor indexed="64"/>
      </patternFill>
    </fill>
    <fill>
      <patternFill patternType="solid">
        <fgColor theme="5"/>
        <bgColor theme="5"/>
      </patternFill>
    </fill>
    <fill>
      <patternFill patternType="solid">
        <fgColor theme="8" tint="-0.499984740745262"/>
        <bgColor indexed="64"/>
      </patternFill>
    </fill>
    <fill>
      <patternFill patternType="solid">
        <fgColor theme="6"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9.9978637043366805E-2"/>
        <bgColor theme="4" tint="0.79998168889431442"/>
      </patternFill>
    </fill>
    <fill>
      <patternFill patternType="solid">
        <fgColor rgb="FFE2DCD4"/>
        <bgColor indexed="64"/>
      </patternFill>
    </fill>
    <fill>
      <patternFill patternType="solid">
        <fgColor rgb="FFFEEFE2"/>
        <bgColor indexed="64"/>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3">
    <xf numFmtId="0" fontId="0" fillId="0" borderId="0"/>
    <xf numFmtId="42" fontId="1" fillId="0" borderId="0" applyFont="0" applyFill="0" applyBorder="0" applyAlignment="0" applyProtection="0"/>
    <xf numFmtId="0" fontId="1" fillId="0" borderId="0"/>
  </cellStyleXfs>
  <cellXfs count="71">
    <xf numFmtId="0" fontId="0" fillId="0" borderId="0" xfId="0"/>
    <xf numFmtId="0" fontId="3" fillId="0" borderId="0" xfId="0" applyFont="1"/>
    <xf numFmtId="0" fontId="4" fillId="0" borderId="0" xfId="0" applyFont="1"/>
    <xf numFmtId="164" fontId="3" fillId="0" borderId="0" xfId="0" applyNumberFormat="1" applyFont="1"/>
    <xf numFmtId="42" fontId="3" fillId="0" borderId="0" xfId="1" applyFont="1"/>
    <xf numFmtId="41" fontId="3" fillId="0" borderId="0" xfId="1" applyNumberFormat="1" applyFont="1"/>
    <xf numFmtId="0" fontId="3" fillId="0" borderId="0" xfId="0" pivotButton="1" applyFont="1"/>
    <xf numFmtId="0" fontId="5" fillId="0" borderId="0" xfId="0" applyFont="1"/>
    <xf numFmtId="165" fontId="5" fillId="0" borderId="0" xfId="0" applyNumberFormat="1" applyFont="1"/>
    <xf numFmtId="3" fontId="5" fillId="0" borderId="0" xfId="0" applyNumberFormat="1" applyFont="1"/>
    <xf numFmtId="3" fontId="5" fillId="0" borderId="0" xfId="1" applyNumberFormat="1" applyFont="1"/>
    <xf numFmtId="3" fontId="3" fillId="0" borderId="0" xfId="0" applyNumberFormat="1" applyFont="1"/>
    <xf numFmtId="0" fontId="0" fillId="0" borderId="0" xfId="0" applyAlignment="1">
      <alignment vertical="center"/>
    </xf>
    <xf numFmtId="0" fontId="7" fillId="0" borderId="0" xfId="0" applyFont="1" applyAlignment="1">
      <alignment vertical="center"/>
    </xf>
    <xf numFmtId="0" fontId="4" fillId="0" borderId="0" xfId="0" applyFont="1" applyAlignment="1">
      <alignment vertical="center"/>
    </xf>
    <xf numFmtId="0" fontId="8" fillId="2" borderId="2" xfId="0" applyFont="1" applyFill="1" applyBorder="1" applyAlignment="1">
      <alignment horizontal="center" vertical="top"/>
    </xf>
    <xf numFmtId="0" fontId="9" fillId="2" borderId="2" xfId="0" applyFont="1" applyFill="1" applyBorder="1" applyAlignment="1">
      <alignment horizontal="center" vertical="top"/>
    </xf>
    <xf numFmtId="0" fontId="10" fillId="0" borderId="1" xfId="0" applyFont="1" applyBorder="1" applyAlignment="1">
      <alignment horizontal="center" vertical="top"/>
    </xf>
    <xf numFmtId="0" fontId="11" fillId="0" borderId="1" xfId="0" applyFont="1" applyBorder="1" applyAlignment="1">
      <alignment horizontal="center" vertical="top"/>
    </xf>
    <xf numFmtId="167" fontId="3" fillId="0" borderId="0" xfId="0" applyNumberFormat="1" applyFont="1" applyAlignment="1">
      <alignment horizontal="right"/>
    </xf>
    <xf numFmtId="0" fontId="12" fillId="0" borderId="0" xfId="0" pivotButton="1" applyFont="1"/>
    <xf numFmtId="0" fontId="12" fillId="0" borderId="0" xfId="0" applyFont="1"/>
    <xf numFmtId="167" fontId="3" fillId="0" borderId="0" xfId="0" applyNumberFormat="1" applyFont="1"/>
    <xf numFmtId="167" fontId="3" fillId="0" borderId="0" xfId="1" applyNumberFormat="1" applyFont="1"/>
    <xf numFmtId="0" fontId="14" fillId="0" borderId="0" xfId="0" applyFont="1"/>
    <xf numFmtId="0" fontId="15" fillId="0" borderId="1" xfId="0" applyFont="1" applyBorder="1" applyAlignment="1">
      <alignment horizontal="center" vertical="top"/>
    </xf>
    <xf numFmtId="0" fontId="5" fillId="0" borderId="0" xfId="0" quotePrefix="1" applyFont="1"/>
    <xf numFmtId="3" fontId="0" fillId="0" borderId="0" xfId="0" applyNumberFormat="1"/>
    <xf numFmtId="0" fontId="16" fillId="0" borderId="0" xfId="0" applyFont="1" applyAlignment="1">
      <alignment horizontal="center" vertical="center"/>
    </xf>
    <xf numFmtId="0" fontId="17" fillId="2" borderId="2" xfId="0" applyFont="1" applyFill="1" applyBorder="1" applyAlignment="1">
      <alignment horizontal="center" vertical="top"/>
    </xf>
    <xf numFmtId="0" fontId="17" fillId="0" borderId="1" xfId="0" applyFont="1" applyBorder="1" applyAlignment="1">
      <alignment horizontal="center" vertical="top"/>
    </xf>
    <xf numFmtId="166" fontId="18" fillId="0" borderId="0" xfId="0" applyNumberFormat="1" applyFont="1" applyAlignment="1">
      <alignment horizontal="center"/>
    </xf>
    <xf numFmtId="0" fontId="16" fillId="0" borderId="0" xfId="0" applyFont="1" applyAlignment="1">
      <alignment horizontal="center"/>
    </xf>
    <xf numFmtId="0" fontId="19" fillId="0" borderId="0" xfId="0" applyFont="1" applyAlignment="1">
      <alignment horizontal="center"/>
    </xf>
    <xf numFmtId="0" fontId="20" fillId="0" borderId="1" xfId="0" applyFont="1" applyBorder="1" applyAlignment="1">
      <alignment horizontal="center" vertical="top"/>
    </xf>
    <xf numFmtId="3" fontId="0" fillId="0" borderId="0" xfId="0" applyNumberFormat="1" applyAlignment="1">
      <alignment vertical="center"/>
    </xf>
    <xf numFmtId="3" fontId="8" fillId="2" borderId="2" xfId="0" applyNumberFormat="1" applyFont="1" applyFill="1" applyBorder="1" applyAlignment="1">
      <alignment horizontal="center" vertical="top"/>
    </xf>
    <xf numFmtId="3" fontId="10" fillId="0" borderId="1" xfId="0" applyNumberFormat="1" applyFont="1" applyBorder="1" applyAlignment="1">
      <alignment horizontal="center" vertical="top"/>
    </xf>
    <xf numFmtId="3" fontId="3" fillId="0" borderId="0" xfId="1" applyNumberFormat="1" applyFont="1"/>
    <xf numFmtId="41" fontId="3" fillId="0" borderId="0" xfId="0" applyNumberFormat="1" applyFont="1"/>
    <xf numFmtId="165" fontId="19" fillId="0" borderId="0" xfId="0" applyNumberFormat="1" applyFont="1" applyAlignment="1">
      <alignment horizontal="center"/>
    </xf>
    <xf numFmtId="41" fontId="0" fillId="0" borderId="0" xfId="0" applyNumberFormat="1"/>
    <xf numFmtId="0" fontId="8" fillId="2" borderId="2" xfId="0" applyFont="1" applyFill="1" applyBorder="1" applyAlignment="1">
      <alignment horizontal="center" vertical="top" wrapText="1"/>
    </xf>
    <xf numFmtId="3" fontId="8" fillId="2" borderId="2" xfId="0" applyNumberFormat="1" applyFont="1" applyFill="1" applyBorder="1" applyAlignment="1">
      <alignment horizontal="center" vertical="top" wrapText="1"/>
    </xf>
    <xf numFmtId="41" fontId="21" fillId="3" borderId="0" xfId="0" applyNumberFormat="1" applyFont="1" applyFill="1"/>
    <xf numFmtId="0" fontId="13" fillId="4" borderId="2" xfId="0" applyFont="1" applyFill="1" applyBorder="1" applyAlignment="1">
      <alignment horizontal="center" vertical="top" wrapText="1"/>
    </xf>
    <xf numFmtId="0" fontId="20" fillId="4" borderId="2" xfId="0" applyFont="1" applyFill="1" applyBorder="1" applyAlignment="1">
      <alignment horizontal="center" vertical="top" wrapText="1"/>
    </xf>
    <xf numFmtId="3" fontId="2" fillId="0" borderId="0" xfId="0" applyNumberFormat="1" applyFont="1"/>
    <xf numFmtId="3" fontId="2" fillId="0" borderId="0" xfId="1" applyNumberFormat="1" applyFont="1"/>
    <xf numFmtId="0" fontId="2" fillId="0" borderId="0" xfId="0" applyFont="1"/>
    <xf numFmtId="0" fontId="23" fillId="5" borderId="0" xfId="0" applyFont="1" applyFill="1" applyAlignment="1">
      <alignment vertical="center"/>
    </xf>
    <xf numFmtId="0" fontId="24" fillId="6" borderId="0" xfId="0" applyFont="1" applyFill="1"/>
    <xf numFmtId="3" fontId="24" fillId="6" borderId="0" xfId="0" applyNumberFormat="1" applyFont="1" applyFill="1"/>
    <xf numFmtId="0" fontId="22" fillId="7" borderId="0" xfId="0" applyFont="1" applyFill="1"/>
    <xf numFmtId="164" fontId="3" fillId="7" borderId="0" xfId="0" applyNumberFormat="1" applyFont="1" applyFill="1"/>
    <xf numFmtId="41" fontId="6" fillId="7" borderId="0" xfId="0" applyNumberFormat="1" applyFont="1" applyFill="1"/>
    <xf numFmtId="168" fontId="0" fillId="0" borderId="0" xfId="1" applyNumberFormat="1" applyFont="1"/>
    <xf numFmtId="4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8" borderId="0" xfId="0" applyFill="1"/>
    <xf numFmtId="0" fontId="27" fillId="9" borderId="3" xfId="0" applyFont="1" applyFill="1" applyBorder="1" applyAlignment="1">
      <alignment horizontal="center" vertical="center"/>
    </xf>
    <xf numFmtId="0" fontId="0" fillId="10" borderId="0" xfId="0" applyFill="1"/>
    <xf numFmtId="0" fontId="26" fillId="10" borderId="0" xfId="0" applyFont="1" applyFill="1"/>
    <xf numFmtId="0" fontId="28" fillId="0" borderId="0" xfId="0" applyFont="1"/>
    <xf numFmtId="42" fontId="28" fillId="0" borderId="0" xfId="0" applyNumberFormat="1" applyFont="1"/>
    <xf numFmtId="3" fontId="3" fillId="11" borderId="0" xfId="0" applyNumberFormat="1" applyFont="1" applyFill="1"/>
    <xf numFmtId="0" fontId="25" fillId="0" borderId="0" xfId="0" applyFont="1" applyFill="1"/>
    <xf numFmtId="166" fontId="12" fillId="0" borderId="0" xfId="0" applyNumberFormat="1" applyFont="1" applyFill="1"/>
    <xf numFmtId="3" fontId="3" fillId="0" borderId="0" xfId="0" applyNumberFormat="1" applyFont="1" applyFill="1"/>
  </cellXfs>
  <cellStyles count="3">
    <cellStyle name="Currency [0]" xfId="1" builtinId="7"/>
    <cellStyle name="Normal" xfId="0" builtinId="0"/>
    <cellStyle name="Normal 2" xfId="2" xr:uid="{D0B52391-6D3B-448D-8DB6-B7EE4D9FA479}"/>
  </cellStyles>
  <dxfs count="1120">
    <dxf>
      <numFmt numFmtId="32" formatCode="_-&quot;Rp&quot;* #,##0_-;\-&quot;Rp&quot;* #,##0_-;_-&quot;Rp&quot;* &quot;-&quot;_-;_-@_-"/>
    </dxf>
    <dxf>
      <fill>
        <patternFill patternType="solid">
          <bgColor theme="8" tint="0.79998168889431442"/>
        </patternFill>
      </fill>
    </dxf>
    <dxf>
      <fill>
        <patternFill>
          <bgColor theme="2" tint="-0.499984740745262"/>
        </patternFill>
      </fill>
    </dxf>
    <dxf>
      <font>
        <color auto="1"/>
      </font>
    </dxf>
    <dxf>
      <fill>
        <patternFill>
          <bgColor theme="6" tint="0.79998168889431442"/>
        </patternFill>
      </fill>
    </dxf>
    <dxf>
      <font>
        <color theme="6" tint="-0.499984740745262"/>
      </font>
    </dxf>
    <dxf>
      <font>
        <b/>
      </font>
    </dxf>
    <dxf>
      <font>
        <sz val="10"/>
      </font>
    </dxf>
    <dxf>
      <numFmt numFmtId="166" formatCode="[$-409]mmm\-yy;@"/>
    </dxf>
    <dxf>
      <numFmt numFmtId="164" formatCode="[$-409]d\-mmm\-yy;@"/>
    </dxf>
    <dxf>
      <numFmt numFmtId="32" formatCode="_-&quot;Rp&quot;* #,##0_-;\-&quot;Rp&quot;* #,##0_-;_-&quot;Rp&quot;* &quot;-&quot;_-;_-@_-"/>
    </dxf>
    <dxf>
      <fill>
        <patternFill patternType="solid">
          <bgColor theme="5" tint="0.79998168889431442"/>
        </patternFill>
      </fill>
    </dxf>
    <dxf>
      <font>
        <b/>
      </font>
    </dxf>
    <dxf>
      <font>
        <b/>
      </font>
    </dxf>
    <dxf>
      <font>
        <b/>
      </font>
    </dxf>
    <dxf>
      <font>
        <b/>
      </font>
    </dxf>
    <dxf>
      <font>
        <b/>
      </font>
    </dxf>
    <dxf>
      <font>
        <b/>
      </font>
    </dxf>
    <dxf>
      <font>
        <b/>
      </font>
    </dxf>
    <dxf>
      <font>
        <b/>
      </font>
    </dxf>
    <dxf>
      <numFmt numFmtId="33" formatCode="_-* #,##0_-;\-* #,##0_-;_-* &quot;-&quot;_-;_-@_-"/>
    </dxf>
    <dxf>
      <numFmt numFmtId="33" formatCode="_-* #,##0_-;\-* #,##0_-;_-* &quot;-&quot;_-;_-@_-"/>
    </dxf>
    <dxf>
      <numFmt numFmtId="3" formatCode="#,##0"/>
    </dxf>
    <dxf>
      <fill>
        <patternFill patternType="solid">
          <bgColor theme="4" tint="0.79998168889431442"/>
        </patternFill>
      </fill>
    </dxf>
    <dxf>
      <font>
        <color rgb="FFFF0000"/>
      </font>
    </dxf>
    <dxf>
      <font>
        <color theme="3" tint="-0.499984740745262"/>
      </font>
    </dxf>
    <dxf>
      <font>
        <b/>
      </font>
    </dxf>
    <dxf>
      <fill>
        <patternFill patternType="solid">
          <bgColor theme="2"/>
        </patternFill>
      </fill>
    </dxf>
    <dxf>
      <font>
        <color theme="3"/>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solid">
          <bgColor theme="4" tint="0.79998168889431442"/>
        </patternFill>
      </fill>
    </dxf>
    <dxf>
      <font>
        <color theme="3"/>
      </font>
    </dxf>
    <dxf>
      <fill>
        <patternFill patternType="solid">
          <bgColor theme="0"/>
        </patternFill>
      </fill>
    </dxf>
    <dxf>
      <fill>
        <patternFill patternType="solid">
          <bgColor theme="0"/>
        </patternFill>
      </fill>
    </dxf>
    <dxf>
      <fill>
        <patternFill>
          <bgColor theme="0"/>
        </patternFill>
      </fill>
    </dxf>
    <dxf>
      <fill>
        <patternFill patternType="none">
          <bgColor auto="1"/>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solid">
          <bgColor rgb="FFFEEFE2"/>
        </patternFill>
      </fill>
    </dxf>
    <dxf>
      <fill>
        <patternFill patternType="solid">
          <bgColor rgb="FFFEEFE2"/>
        </patternFill>
      </fill>
    </dxf>
    <dxf>
      <fill>
        <patternFill patternType="none">
          <bgColor auto="1"/>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theme="6" tint="0.59999389629810485"/>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numFmt numFmtId="32" formatCode="_-&quot;Rp&quot;* #,##0_-;\-&quot;Rp&quot;* #,##0_-;_-&quot;Rp&quot;* &quot;-&quot;_-;_-@_-"/>
    </dxf>
    <dxf>
      <fill>
        <patternFill patternType="solid">
          <bgColor theme="8" tint="0.79998168889431442"/>
        </patternFill>
      </fill>
    </dxf>
    <dxf>
      <fill>
        <patternFill>
          <bgColor theme="2" tint="-0.499984740745262"/>
        </patternFill>
      </fill>
    </dxf>
    <dxf>
      <font>
        <color auto="1"/>
      </font>
    </dxf>
    <dxf>
      <fill>
        <patternFill>
          <bgColor theme="6" tint="0.79998168889431442"/>
        </patternFill>
      </fill>
    </dxf>
    <dxf>
      <font>
        <color theme="6" tint="-0.499984740745262"/>
      </font>
    </dxf>
    <dxf>
      <font>
        <b/>
      </font>
    </dxf>
    <dxf>
      <font>
        <sz val="10"/>
      </font>
    </dxf>
    <dxf>
      <numFmt numFmtId="166" formatCode="[$-409]mmm\-yy;@"/>
    </dxf>
    <dxf>
      <numFmt numFmtId="164" formatCode="[$-409]d\-mmm\-yy;@"/>
    </dxf>
    <dxf>
      <numFmt numFmtId="32" formatCode="_-&quot;Rp&quot;* #,##0_-;\-&quot;Rp&quot;* #,##0_-;_-&quot;Rp&quot;* &quot;-&quot;_-;_-@_-"/>
    </dxf>
    <dxf>
      <fill>
        <patternFill patternType="solid">
          <bgColor theme="5" tint="0.79998168889431442"/>
        </patternFill>
      </fill>
    </dxf>
    <dxf>
      <font>
        <b/>
      </font>
    </dxf>
    <dxf>
      <font>
        <b/>
      </font>
    </dxf>
    <dxf>
      <font>
        <b/>
      </font>
    </dxf>
    <dxf>
      <font>
        <b/>
      </font>
    </dxf>
    <dxf>
      <font>
        <b/>
      </font>
    </dxf>
    <dxf>
      <font>
        <b/>
      </font>
    </dxf>
    <dxf>
      <font>
        <b/>
      </font>
    </dxf>
    <dxf>
      <font>
        <b/>
      </font>
    </dxf>
    <dxf>
      <numFmt numFmtId="33" formatCode="_-* #,##0_-;\-* #,##0_-;_-* &quot;-&quot;_-;_-@_-"/>
    </dxf>
    <dxf>
      <numFmt numFmtId="33" formatCode="_-* #,##0_-;\-* #,##0_-;_-* &quot;-&quot;_-;_-@_-"/>
    </dxf>
    <dxf>
      <numFmt numFmtId="3" formatCode="#,##0"/>
    </dxf>
    <dxf>
      <fill>
        <patternFill patternType="solid">
          <bgColor theme="4" tint="0.79998168889431442"/>
        </patternFill>
      </fill>
    </dxf>
    <dxf>
      <font>
        <color rgb="FFFF0000"/>
      </font>
    </dxf>
    <dxf>
      <font>
        <color theme="3" tint="-0.499984740745262"/>
      </font>
    </dxf>
    <dxf>
      <font>
        <b/>
      </font>
    </dxf>
    <dxf>
      <fill>
        <patternFill patternType="solid">
          <bgColor theme="2"/>
        </patternFill>
      </fill>
    </dxf>
    <dxf>
      <font>
        <color theme="3"/>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solid">
          <bgColor theme="4" tint="0.79998168889431442"/>
        </patternFill>
      </fill>
    </dxf>
    <dxf>
      <font>
        <color theme="3"/>
      </font>
    </dxf>
    <dxf>
      <fill>
        <patternFill patternType="solid">
          <bgColor theme="0"/>
        </patternFill>
      </fill>
    </dxf>
    <dxf>
      <fill>
        <patternFill patternType="solid">
          <bgColor theme="0"/>
        </patternFill>
      </fill>
    </dxf>
    <dxf>
      <fill>
        <patternFill>
          <bgColor theme="0"/>
        </patternFill>
      </fill>
    </dxf>
    <dxf>
      <fill>
        <patternFill patternType="none">
          <bgColor auto="1"/>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solid">
          <bgColor rgb="FFFEEFE2"/>
        </patternFill>
      </fill>
    </dxf>
    <dxf>
      <fill>
        <patternFill patternType="solid">
          <bgColor rgb="FFFEEFE2"/>
        </patternFill>
      </fill>
    </dxf>
    <dxf>
      <fill>
        <patternFill patternType="none">
          <bgColor auto="1"/>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theme="6" tint="0.59999389629810485"/>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numFmt numFmtId="32" formatCode="_-&quot;Rp&quot;* #,##0_-;\-&quot;Rp&quot;* #,##0_-;_-&quot;Rp&quot;* &quot;-&quot;_-;_-@_-"/>
    </dxf>
    <dxf>
      <fill>
        <patternFill patternType="solid">
          <bgColor theme="8" tint="0.79998168889431442"/>
        </patternFill>
      </fill>
    </dxf>
    <dxf>
      <fill>
        <patternFill>
          <bgColor theme="2" tint="-0.499984740745262"/>
        </patternFill>
      </fill>
    </dxf>
    <dxf>
      <font>
        <color auto="1"/>
      </font>
    </dxf>
    <dxf>
      <fill>
        <patternFill>
          <bgColor theme="6" tint="0.79998168889431442"/>
        </patternFill>
      </fill>
    </dxf>
    <dxf>
      <font>
        <color theme="6" tint="-0.499984740745262"/>
      </font>
    </dxf>
    <dxf>
      <font>
        <b/>
      </font>
    </dxf>
    <dxf>
      <font>
        <sz val="10"/>
      </font>
    </dxf>
    <dxf>
      <numFmt numFmtId="166" formatCode="[$-409]mmm\-yy;@"/>
    </dxf>
    <dxf>
      <numFmt numFmtId="164" formatCode="[$-409]d\-mmm\-yy;@"/>
    </dxf>
    <dxf>
      <numFmt numFmtId="32" formatCode="_-&quot;Rp&quot;* #,##0_-;\-&quot;Rp&quot;* #,##0_-;_-&quot;Rp&quot;* &quot;-&quot;_-;_-@_-"/>
    </dxf>
    <dxf>
      <fill>
        <patternFill patternType="solid">
          <bgColor theme="5" tint="0.79998168889431442"/>
        </patternFill>
      </fill>
    </dxf>
    <dxf>
      <font>
        <b/>
      </font>
    </dxf>
    <dxf>
      <font>
        <b/>
      </font>
    </dxf>
    <dxf>
      <font>
        <b/>
      </font>
    </dxf>
    <dxf>
      <font>
        <b/>
      </font>
    </dxf>
    <dxf>
      <font>
        <b/>
      </font>
    </dxf>
    <dxf>
      <font>
        <b/>
      </font>
    </dxf>
    <dxf>
      <font>
        <b/>
      </font>
    </dxf>
    <dxf>
      <font>
        <b/>
      </font>
    </dxf>
    <dxf>
      <numFmt numFmtId="33" formatCode="_-* #,##0_-;\-* #,##0_-;_-* &quot;-&quot;_-;_-@_-"/>
    </dxf>
    <dxf>
      <numFmt numFmtId="33" formatCode="_-* #,##0_-;\-* #,##0_-;_-* &quot;-&quot;_-;_-@_-"/>
    </dxf>
    <dxf>
      <numFmt numFmtId="3" formatCode="#,##0"/>
    </dxf>
    <dxf>
      <fill>
        <patternFill patternType="solid">
          <bgColor theme="4" tint="0.79998168889431442"/>
        </patternFill>
      </fill>
    </dxf>
    <dxf>
      <font>
        <color rgb="FFFF0000"/>
      </font>
    </dxf>
    <dxf>
      <font>
        <color theme="3" tint="-0.499984740745262"/>
      </font>
    </dxf>
    <dxf>
      <font>
        <b/>
      </font>
    </dxf>
    <dxf>
      <fill>
        <patternFill patternType="solid">
          <bgColor theme="2"/>
        </patternFill>
      </fill>
    </dxf>
    <dxf>
      <font>
        <color theme="3"/>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solid">
          <bgColor theme="4" tint="0.79998168889431442"/>
        </patternFill>
      </fill>
    </dxf>
    <dxf>
      <font>
        <color theme="3"/>
      </font>
    </dxf>
    <dxf>
      <fill>
        <patternFill patternType="solid">
          <bgColor theme="0"/>
        </patternFill>
      </fill>
    </dxf>
    <dxf>
      <fill>
        <patternFill patternType="solid">
          <bgColor theme="0"/>
        </patternFill>
      </fill>
    </dxf>
    <dxf>
      <fill>
        <patternFill>
          <bgColor theme="0"/>
        </patternFill>
      </fill>
    </dxf>
    <dxf>
      <fill>
        <patternFill patternType="none">
          <bgColor auto="1"/>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solid">
          <bgColor rgb="FFFEEFE2"/>
        </patternFill>
      </fill>
    </dxf>
    <dxf>
      <fill>
        <patternFill patternType="solid">
          <bgColor rgb="FFFEEFE2"/>
        </patternFill>
      </fill>
    </dxf>
    <dxf>
      <fill>
        <patternFill patternType="none">
          <bgColor auto="1"/>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theme="6" tint="0.59999389629810485"/>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ont>
        <color rgb="FF006100"/>
      </font>
      <fill>
        <patternFill patternType="none">
          <bgColor auto="1"/>
        </patternFill>
      </fill>
    </dxf>
    <dxf>
      <font>
        <color rgb="FF9C0006"/>
      </font>
      <fill>
        <patternFill patternType="none">
          <bgColor auto="1"/>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3" formatCode="#,##0"/>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9"/>
        <color theme="2" tint="-0.249977111117893"/>
        <name val="Calibri"/>
        <family val="2"/>
        <scheme val="minor"/>
      </font>
      <numFmt numFmtId="165" formatCode="[$-409]mmmm\-yy;@"/>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2" tint="-0.249977111117893"/>
        <name val="Calibri"/>
        <family val="2"/>
        <scheme val="minor"/>
      </font>
      <numFmt numFmtId="165" formatCode="[$-409]mmmm\-yy;@"/>
      <fill>
        <patternFill patternType="none">
          <fgColor indexed="64"/>
          <bgColor auto="1"/>
        </patternFill>
      </fill>
      <alignment horizontal="center"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165" formatCode="[$-409]mmmm\-yy;@"/>
    </dxf>
    <dxf>
      <font>
        <strike val="0"/>
        <outline val="0"/>
        <shadow val="0"/>
        <u val="none"/>
        <vertAlign val="baseline"/>
        <sz val="8"/>
        <color theme="1"/>
        <name val="Calibri"/>
        <family val="2"/>
        <scheme val="minor"/>
      </font>
      <numFmt numFmtId="165" formatCode="[$-409]mmmm\-yy;@"/>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numFmt numFmtId="0" formatCode="General"/>
    </dxf>
    <dxf>
      <font>
        <b val="0"/>
        <i val="0"/>
        <strike val="0"/>
        <condense val="0"/>
        <extend val="0"/>
        <outline val="0"/>
        <shadow val="0"/>
        <u val="none"/>
        <vertAlign val="baseline"/>
        <sz val="8"/>
        <color theme="1"/>
        <name val="Calibri"/>
        <family val="2"/>
        <scheme val="minor"/>
      </font>
      <fill>
        <patternFill patternType="none">
          <fgColor indexed="64"/>
          <bgColor indexed="65"/>
        </patternFill>
      </fill>
    </dxf>
    <dxf>
      <font>
        <strike val="0"/>
        <outline val="0"/>
        <shadow val="0"/>
        <u val="none"/>
        <vertAlign val="baseline"/>
        <sz val="8"/>
        <color theme="1"/>
        <name val="Calibri"/>
        <family val="2"/>
        <scheme val="minor"/>
      </font>
      <fill>
        <patternFill patternType="none">
          <fgColor indexed="64"/>
          <bgColor auto="1"/>
        </patternFill>
      </fill>
    </dxf>
    <dxf>
      <font>
        <b val="0"/>
        <i val="0"/>
        <strike val="0"/>
        <condense val="0"/>
        <extend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border outline="0">
        <top style="thin">
          <color auto="1"/>
        </top>
      </border>
    </dxf>
    <dxf>
      <font>
        <strike val="0"/>
        <outline val="0"/>
        <shadow val="0"/>
        <u val="none"/>
        <vertAlign val="baseline"/>
        <sz val="8"/>
        <color theme="1"/>
        <name val="Calibri"/>
        <family val="2"/>
        <scheme val="minor"/>
      </font>
    </dxf>
    <dxf>
      <border outline="0">
        <bottom style="thin">
          <color auto="1"/>
        </bottom>
      </border>
    </dxf>
    <dxf>
      <font>
        <b/>
        <i val="0"/>
        <strike val="0"/>
        <condense val="0"/>
        <extend val="0"/>
        <outline val="0"/>
        <shadow val="0"/>
        <u val="none"/>
        <vertAlign val="baseline"/>
        <sz val="11"/>
        <color theme="5"/>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strike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General\ &quot;X&quot;"/>
    </dxf>
    <dxf>
      <font>
        <strike val="0"/>
        <outline val="0"/>
        <shadow val="0"/>
        <u val="none"/>
        <vertAlign val="baseline"/>
        <sz val="10"/>
        <color theme="1"/>
        <name val="Calibri"/>
        <family val="2"/>
        <scheme val="minor"/>
      </font>
      <numFmt numFmtId="167" formatCode="General\ &quot;X&quot;"/>
    </dxf>
    <dxf>
      <font>
        <b val="0"/>
        <i val="0"/>
        <strike val="0"/>
        <condense val="0"/>
        <extend val="0"/>
        <outline val="0"/>
        <shadow val="0"/>
        <u val="none"/>
        <vertAlign val="baseline"/>
        <sz val="10"/>
        <color theme="1"/>
        <name val="Calibri"/>
        <family val="2"/>
        <scheme val="minor"/>
      </font>
      <numFmt numFmtId="33" formatCode="_-* #,##0_-;\-* #,##0_-;_-* &quot;-&quot;_-;_-@_-"/>
    </dxf>
    <dxf>
      <font>
        <b val="0"/>
        <i val="0"/>
        <strike val="0"/>
        <condense val="0"/>
        <extend val="0"/>
        <outline val="0"/>
        <shadow val="0"/>
        <u val="none"/>
        <vertAlign val="baseline"/>
        <sz val="10"/>
        <color theme="1"/>
        <name val="Calibri"/>
        <family val="2"/>
        <scheme val="minor"/>
      </font>
      <numFmt numFmtId="33" formatCode="_-* #,##0_-;\-* #,##0_-;_-* &quot;-&quot;_-;_-@_-"/>
    </dxf>
    <dxf>
      <font>
        <b val="0"/>
        <i val="0"/>
        <strike val="0"/>
        <condense val="0"/>
        <extend val="0"/>
        <outline val="0"/>
        <shadow val="0"/>
        <u val="none"/>
        <vertAlign val="baseline"/>
        <sz val="10"/>
        <color theme="1"/>
        <name val="Calibri"/>
        <family val="2"/>
        <scheme val="minor"/>
      </font>
      <numFmt numFmtId="33" formatCode="_-* #,##0_-;\-* #,##0_-;_-* &quot;-&quot;_-;_-@_-"/>
    </dxf>
    <dxf>
      <font>
        <b val="0"/>
        <i val="0"/>
        <strike val="0"/>
        <condense val="0"/>
        <extend val="0"/>
        <outline val="0"/>
        <shadow val="0"/>
        <u val="none"/>
        <vertAlign val="baseline"/>
        <sz val="10"/>
        <color theme="1"/>
        <name val="Calibri"/>
        <family val="2"/>
        <scheme val="minor"/>
      </font>
      <numFmt numFmtId="33" formatCode="_-* #,##0_-;\-* #,##0_-;_-* &quot;-&quot;_-;_-@_-"/>
    </dxf>
    <dxf>
      <font>
        <b val="0"/>
        <i val="0"/>
        <strike val="0"/>
        <condense val="0"/>
        <extend val="0"/>
        <outline val="0"/>
        <shadow val="0"/>
        <u val="none"/>
        <vertAlign val="baseline"/>
        <sz val="10"/>
        <color theme="1"/>
        <name val="Calibri"/>
        <family val="2"/>
        <scheme val="minor"/>
      </font>
      <numFmt numFmtId="33" formatCode="_-* #,##0_-;\-* #,##0_-;_-* &quot;-&quot;_-;_-@_-"/>
    </dxf>
    <dxf>
      <font>
        <b val="0"/>
        <i val="0"/>
        <strike val="0"/>
        <condense val="0"/>
        <extend val="0"/>
        <outline val="0"/>
        <shadow val="0"/>
        <u val="none"/>
        <vertAlign val="baseline"/>
        <sz val="10"/>
        <color theme="1"/>
        <name val="Calibri"/>
        <family val="2"/>
        <scheme val="minor"/>
      </font>
      <numFmt numFmtId="33" formatCode="_-* #,##0_-;\-* #,##0_-;_-* &quot;-&quot;_-;_-@_-"/>
    </dxf>
    <dxf>
      <font>
        <b val="0"/>
        <i val="0"/>
        <strike val="0"/>
        <condense val="0"/>
        <extend val="0"/>
        <outline val="0"/>
        <shadow val="0"/>
        <u val="none"/>
        <vertAlign val="baseline"/>
        <sz val="10"/>
        <color theme="1"/>
        <name val="Calibri"/>
        <family val="2"/>
        <scheme val="minor"/>
      </font>
      <numFmt numFmtId="3" formatCode="#,##0"/>
    </dxf>
    <dxf>
      <font>
        <strike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2" tint="-0.249977111117893"/>
        <name val="Calibri"/>
        <family val="2"/>
        <scheme val="minor"/>
      </font>
      <numFmt numFmtId="166" formatCode="[$-409]mmm\-yy;@"/>
      <alignment horizontal="center" vertical="bottom" textRotation="0" wrapText="0" indent="0" justifyLastLine="0" shrinkToFit="0" readingOrder="0"/>
    </dxf>
    <dxf>
      <font>
        <b val="0"/>
        <i val="0"/>
        <strike val="0"/>
        <condense val="0"/>
        <extend val="0"/>
        <outline val="0"/>
        <shadow val="0"/>
        <u val="none"/>
        <vertAlign val="baseline"/>
        <sz val="10"/>
        <color theme="2" tint="-0.249977111117893"/>
        <name val="Calibri"/>
        <family val="2"/>
        <scheme val="minor"/>
      </font>
      <numFmt numFmtId="166" formatCode="[$-409]mmm\-yy;@"/>
      <alignment horizont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4" formatCode="[$-409]d\-mmm\-yy;@"/>
    </dxf>
    <dxf>
      <font>
        <strike val="0"/>
        <outline val="0"/>
        <shadow val="0"/>
        <u val="none"/>
        <vertAlign val="baseline"/>
        <sz val="10"/>
        <color theme="1"/>
        <name val="Calibri"/>
        <family val="2"/>
        <scheme val="minor"/>
      </font>
      <numFmt numFmtId="164" formatCode="[$-409]d\-mmm\-yy;@"/>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border outline="0">
        <top style="thin">
          <color auto="1"/>
        </top>
      </border>
    </dxf>
    <dxf>
      <font>
        <strike val="0"/>
        <outline val="0"/>
        <shadow val="0"/>
        <u val="none"/>
        <vertAlign val="baseline"/>
        <sz val="10"/>
        <color theme="1"/>
        <name val="Calibri"/>
        <family val="2"/>
        <scheme val="minor"/>
      </font>
    </dxf>
    <dxf>
      <border outline="0">
        <bottom style="thin">
          <color auto="1"/>
        </bottom>
      </border>
    </dxf>
    <dxf>
      <font>
        <b/>
        <i val="0"/>
        <strike val="0"/>
        <condense val="0"/>
        <extend val="0"/>
        <outline val="0"/>
        <shadow val="0"/>
        <u val="none"/>
        <vertAlign val="baseline"/>
        <sz val="11"/>
        <color theme="6"/>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2" formatCode="_-&quot;Rp&quot;* #,##0_-;\-&quot;Rp&quot;* #,##0_-;_-&quot;Rp&quot;* &quot;-&quot;_-;_-@_-"/>
    </dxf>
    <dxf>
      <numFmt numFmtId="32" formatCode="_-&quot;Rp&quot;* #,##0_-;\-&quot;Rp&quot;* #,##0_-;_-&quot;Rp&quot;* &quot;-&quot;_-;_-@_-"/>
    </dxf>
    <dxf>
      <numFmt numFmtId="33" formatCode="_-* #,##0_-;\-* #,##0_-;_-* &quot;-&quot;_-;_-@_-"/>
    </dxf>
    <dxf>
      <numFmt numFmtId="32" formatCode="_-&quot;Rp&quot;* #,##0_-;\-&quot;Rp&quot;* #,##0_-;_-&quot;Rp&quot;* &quot;-&quot;_-;_-@_-"/>
    </dxf>
    <dxf>
      <numFmt numFmtId="33" formatCode="_-* #,##0_-;\-* #,##0_-;_-* &quot;-&quot;_-;_-@_-"/>
    </dxf>
    <dxf>
      <numFmt numFmtId="1" formatCode="0"/>
    </dxf>
    <dxf>
      <numFmt numFmtId="33" formatCode="_-* #,##0_-;\-* #,##0_-;_-* &quot;-&quot;_-;_-@_-"/>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theme="6" tint="0.59999389629810485"/>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none">
          <bgColor auto="1"/>
        </patternFill>
      </fill>
    </dxf>
    <dxf>
      <fill>
        <patternFill patternType="solid">
          <bgColor rgb="FFFEEFE2"/>
        </patternFill>
      </fill>
    </dxf>
    <dxf>
      <fill>
        <patternFill patternType="solid">
          <bgColor rgb="FFFEEFE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none">
          <bgColor auto="1"/>
        </patternFill>
      </fill>
    </dxf>
    <dxf>
      <fill>
        <patternFill>
          <bgColor theme="0"/>
        </patternFill>
      </fill>
    </dxf>
    <dxf>
      <fill>
        <patternFill patternType="solid">
          <bgColor theme="0"/>
        </patternFill>
      </fill>
    </dxf>
    <dxf>
      <fill>
        <patternFill patternType="solid">
          <bgColor theme="0"/>
        </patternFill>
      </fill>
    </dxf>
    <dxf>
      <font>
        <color theme="3"/>
      </font>
    </dxf>
    <dxf>
      <fill>
        <patternFill patternType="solid">
          <bgColor theme="4" tint="0.79998168889431442"/>
        </patternFill>
      </fill>
    </dxf>
    <dxf>
      <fill>
        <patternFill>
          <bgColor rgb="FFFEEFE2"/>
        </patternFill>
      </fill>
    </dxf>
    <dxf>
      <fill>
        <patternFill>
          <bgColor rgb="FFFEEFE2"/>
        </patternFill>
      </fill>
    </dxf>
    <dxf>
      <fill>
        <patternFill>
          <bgColor rgb="FFFEEFE2"/>
        </patternFill>
      </fill>
    </dxf>
    <dxf>
      <fill>
        <patternFill>
          <bgColor rgb="FFFEEFE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color theme="3"/>
      </font>
    </dxf>
    <dxf>
      <fill>
        <patternFill patternType="solid">
          <bgColor theme="2"/>
        </patternFill>
      </fill>
    </dxf>
    <dxf>
      <font>
        <b/>
      </font>
    </dxf>
    <dxf>
      <font>
        <color theme="3" tint="-0.499984740745262"/>
      </font>
    </dxf>
    <dxf>
      <font>
        <color rgb="FFFF0000"/>
      </font>
    </dxf>
    <dxf>
      <fill>
        <patternFill patternType="solid">
          <bgColor theme="4" tint="0.79998168889431442"/>
        </patternFill>
      </fill>
    </dxf>
    <dxf>
      <numFmt numFmtId="3" formatCode="#,##0"/>
    </dxf>
    <dxf>
      <numFmt numFmtId="33" formatCode="_-* #,##0_-;\-* #,##0_-;_-* &quot;-&quot;_-;_-@_-"/>
    </dxf>
    <dxf>
      <numFmt numFmtId="33" formatCode="_-* #,##0_-;\-* #,##0_-;_-* &quot;-&quot;_-;_-@_-"/>
    </dxf>
    <dxf>
      <font>
        <b/>
      </font>
    </dxf>
    <dxf>
      <font>
        <b/>
      </font>
    </dxf>
    <dxf>
      <font>
        <b/>
      </font>
    </dxf>
    <dxf>
      <font>
        <b/>
      </font>
    </dxf>
    <dxf>
      <font>
        <b/>
      </font>
    </dxf>
    <dxf>
      <font>
        <b/>
      </font>
    </dxf>
    <dxf>
      <font>
        <b/>
      </font>
    </dxf>
    <dxf>
      <font>
        <b/>
      </font>
    </dxf>
    <dxf>
      <fill>
        <patternFill patternType="solid">
          <bgColor theme="5" tint="0.79998168889431442"/>
        </patternFill>
      </fill>
    </dxf>
    <dxf>
      <numFmt numFmtId="32" formatCode="_-&quot;Rp&quot;* #,##0_-;\-&quot;Rp&quot;* #,##0_-;_-&quot;Rp&quot;* &quot;-&quot;_-;_-@_-"/>
    </dxf>
    <dxf>
      <numFmt numFmtId="164" formatCode="[$-409]d\-mmm\-yy;@"/>
    </dxf>
    <dxf>
      <numFmt numFmtId="166" formatCode="[$-409]mmm\-yy;@"/>
    </dxf>
    <dxf>
      <font>
        <sz val="10"/>
      </font>
    </dxf>
    <dxf>
      <font>
        <b/>
      </font>
    </dxf>
    <dxf>
      <font>
        <color theme="6" tint="-0.499984740745262"/>
      </font>
    </dxf>
    <dxf>
      <fill>
        <patternFill>
          <bgColor theme="6" tint="0.79998168889431442"/>
        </patternFill>
      </fill>
    </dxf>
    <dxf>
      <font>
        <color auto="1"/>
      </font>
    </dxf>
    <dxf>
      <fill>
        <patternFill>
          <bgColor theme="2" tint="-0.499984740745262"/>
        </patternFill>
      </fill>
    </dxf>
    <dxf>
      <fill>
        <patternFill patternType="solid">
          <bgColor theme="8" tint="0.79998168889431442"/>
        </patternFill>
      </fill>
    </dxf>
    <dxf>
      <numFmt numFmtId="32" formatCode="_-&quot;Rp&quot;* #,##0_-;\-&quot;Rp&quot;* #,##0_-;_-&quot;Rp&quot;* &quot;-&quot;_-;_-@_-"/>
    </dxf>
    <dxf>
      <font>
        <b/>
        <color theme="1"/>
      </font>
      <border>
        <bottom style="thin">
          <color theme="9"/>
        </bottom>
        <vertical/>
        <horizontal/>
      </border>
    </dxf>
    <dxf>
      <font>
        <sz val="11"/>
        <color theme="1"/>
      </font>
      <fill>
        <patternFill patternType="solid">
          <fgColor rgb="FFE2DCD4"/>
          <bgColor rgb="FFE2DCD4"/>
        </patternFill>
      </fill>
      <border diagonalUp="0" diagonalDown="0">
        <left/>
        <right/>
        <top/>
        <bottom/>
        <vertical/>
        <horizontal/>
      </border>
    </dxf>
    <dxf>
      <font>
        <b/>
        <i val="0"/>
        <sz val="7"/>
        <color theme="1"/>
      </font>
      <border>
        <bottom style="thin">
          <color theme="6"/>
        </bottom>
        <vertical/>
        <horizontal/>
      </border>
    </dxf>
    <dxf>
      <font>
        <sz val="8"/>
        <color theme="1"/>
      </font>
      <border diagonalUp="0" diagonalDown="0">
        <left/>
        <right/>
        <top/>
        <bottom/>
        <vertical/>
        <horizontal/>
      </border>
    </dxf>
    <dxf>
      <font>
        <sz val="7"/>
        <color theme="1"/>
      </font>
      <border>
        <bottom style="thin">
          <color theme="4"/>
        </bottom>
        <vertical/>
        <horizontal/>
      </border>
    </dxf>
    <dxf>
      <font>
        <sz val="7"/>
        <color theme="1"/>
      </font>
      <border>
        <left style="thin">
          <color theme="4"/>
        </left>
        <right style="thin">
          <color theme="4"/>
        </right>
        <top style="thin">
          <color theme="4"/>
        </top>
        <bottom style="thin">
          <color theme="4"/>
        </bottom>
        <vertical/>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ill>
        <patternFill patternType="none">
          <bgColor auto="1"/>
        </patternFill>
      </fill>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bgColor theme="0"/>
        </patternFill>
      </fill>
    </dxf>
    <dxf>
      <fill>
        <patternFill patternType="solid">
          <fgColor theme="0" tint="-0.14996795556505021"/>
          <bgColor theme="0"/>
        </patternFill>
      </fill>
    </dxf>
    <dxf>
      <fill>
        <patternFill patternType="none">
          <bgColor auto="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4" defaultTableStyle="TableStyleMedium9" defaultPivotStyle="PivotStyleLight16">
    <tableStyle name="my style" table="0" count="14" xr9:uid="{1538FFCE-D0ED-4CCC-B1EB-1B61C950230B}">
      <tableStyleElement type="headerRow" dxfId="1119"/>
      <tableStyleElement type="totalRow" dxfId="1118"/>
      <tableStyleElement type="firstColumn" dxfId="1117"/>
      <tableStyleElement type="firstRowStripe" dxfId="1116"/>
      <tableStyleElement type="secondRowStripe" dxfId="1115"/>
      <tableStyleElement type="firstColumnStripe" dxfId="1114"/>
      <tableStyleElement type="firstSubtotalColumn" dxfId="1113"/>
      <tableStyleElement type="firstSubtotalRow" dxfId="1112"/>
      <tableStyleElement type="secondSubtotalRow" dxfId="1111"/>
      <tableStyleElement type="blankRow" dxfId="1110"/>
      <tableStyleElement type="firstRowSubheading" dxfId="1109"/>
      <tableStyleElement type="secondRowSubheading" dxfId="1108"/>
      <tableStyleElement type="pageFieldLabels" dxfId="1107"/>
      <tableStyleElement type="pageFieldValues" dxfId="1106"/>
    </tableStyle>
    <tableStyle name="SlicerStyleDark1 2" pivot="0" table="0" count="10" xr9:uid="{25940B4A-F0CE-4F35-8F16-C83C3B361E70}">
      <tableStyleElement type="wholeTable" dxfId="1105"/>
      <tableStyleElement type="headerRow" dxfId="1104"/>
    </tableStyle>
    <tableStyle name="SlicerStyleDark3 2" pivot="0" table="0" count="10" xr9:uid="{F19827D6-0DA4-486A-9951-78B7814A21F5}">
      <tableStyleElement type="wholeTable" dxfId="1103"/>
      <tableStyleElement type="headerRow" dxfId="1102"/>
    </tableStyle>
    <tableStyle name="SlicerStyleDark6 2" pivot="0" table="0" count="10" xr9:uid="{914592FE-5889-44D2-A680-A03B71F8BBEB}">
      <tableStyleElement type="wholeTable" dxfId="1101"/>
      <tableStyleElement type="headerRow" dxfId="1100"/>
    </tableStyle>
  </tableStyles>
  <colors>
    <mruColors>
      <color rgb="FFE2DCD4"/>
      <color rgb="FFFEEFE2"/>
      <color rgb="FFA0C496"/>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tint="-0.749961851863155"/>
          </font>
          <fill>
            <patternFill patternType="solid">
              <fgColor theme="2"/>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2"/>
              <bgColor theme="2"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7"/>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sz val="7"/>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7"/>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3 2">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microsoft.com/office/2007/relationships/slicerCache" Target="slicerCaches/slicerCache2.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Employee Loans byVeren.xlsx]Input!PivotTable3</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Input!$J$1:$J$2</c:f>
              <c:strCache>
                <c:ptCount val="1"/>
                <c:pt idx="0">
                  <c:v>SSL</c:v>
                </c:pt>
              </c:strCache>
            </c:strRef>
          </c:tx>
          <c:spPr>
            <a:ln w="28575" cap="rnd">
              <a:solidFill>
                <a:schemeClr val="accent1"/>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Input!$J$3:$J$14</c:f>
              <c:numCache>
                <c:formatCode>_(* #,##0_);_(* \(#,##0\);_(* "-"_);_(@_)</c:formatCode>
                <c:ptCount val="12"/>
                <c:pt idx="0">
                  <c:v>1670246</c:v>
                </c:pt>
                <c:pt idx="2">
                  <c:v>2000000</c:v>
                </c:pt>
                <c:pt idx="3">
                  <c:v>1500000</c:v>
                </c:pt>
                <c:pt idx="4">
                  <c:v>1846284</c:v>
                </c:pt>
                <c:pt idx="8">
                  <c:v>5700000</c:v>
                </c:pt>
                <c:pt idx="9">
                  <c:v>4000000</c:v>
                </c:pt>
                <c:pt idx="10">
                  <c:v>2000000</c:v>
                </c:pt>
              </c:numCache>
            </c:numRef>
          </c:val>
          <c:smooth val="0"/>
          <c:extLst>
            <c:ext xmlns:c16="http://schemas.microsoft.com/office/drawing/2014/chart" uri="{C3380CC4-5D6E-409C-BE32-E72D297353CC}">
              <c16:uniqueId val="{0000003C-55F7-41F1-B19A-8F9BC06F0451}"/>
            </c:ext>
          </c:extLst>
        </c:ser>
        <c:ser>
          <c:idx val="1"/>
          <c:order val="1"/>
          <c:tx>
            <c:strRef>
              <c:f>Input!$K$1:$K$2</c:f>
              <c:strCache>
                <c:ptCount val="1"/>
                <c:pt idx="0">
                  <c:v>PPA</c:v>
                </c:pt>
              </c:strCache>
            </c:strRef>
          </c:tx>
          <c:spPr>
            <a:ln w="28575" cap="rnd">
              <a:solidFill>
                <a:schemeClr val="accent2"/>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Input!$K$3:$K$14</c:f>
              <c:numCache>
                <c:formatCode>_(* #,##0_);_(* \(#,##0\);_(* "-"_);_(@_)</c:formatCode>
                <c:ptCount val="12"/>
                <c:pt idx="0">
                  <c:v>3000000</c:v>
                </c:pt>
                <c:pt idx="4">
                  <c:v>2605000</c:v>
                </c:pt>
                <c:pt idx="5">
                  <c:v>2000000</c:v>
                </c:pt>
                <c:pt idx="6">
                  <c:v>5000000</c:v>
                </c:pt>
                <c:pt idx="7">
                  <c:v>5000000</c:v>
                </c:pt>
                <c:pt idx="9">
                  <c:v>9000000</c:v>
                </c:pt>
                <c:pt idx="11">
                  <c:v>3334000</c:v>
                </c:pt>
              </c:numCache>
            </c:numRef>
          </c:val>
          <c:smooth val="0"/>
          <c:extLst>
            <c:ext xmlns:c16="http://schemas.microsoft.com/office/drawing/2014/chart" uri="{C3380CC4-5D6E-409C-BE32-E72D297353CC}">
              <c16:uniqueId val="{0000003D-55F7-41F1-B19A-8F9BC06F0451}"/>
            </c:ext>
          </c:extLst>
        </c:ser>
        <c:ser>
          <c:idx val="2"/>
          <c:order val="2"/>
          <c:tx>
            <c:strRef>
              <c:f>Input!$L$1:$L$2</c:f>
              <c:strCache>
                <c:ptCount val="1"/>
                <c:pt idx="0">
                  <c:v>SAP</c:v>
                </c:pt>
              </c:strCache>
            </c:strRef>
          </c:tx>
          <c:spPr>
            <a:ln w="28575" cap="rnd">
              <a:solidFill>
                <a:schemeClr val="accent3"/>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Input!$L$3:$L$14</c:f>
              <c:numCache>
                <c:formatCode>_(* #,##0_);_(* \(#,##0\);_(* "-"_);_(@_)</c:formatCode>
                <c:ptCount val="12"/>
                <c:pt idx="5">
                  <c:v>1000000</c:v>
                </c:pt>
                <c:pt idx="6">
                  <c:v>3500000</c:v>
                </c:pt>
                <c:pt idx="7">
                  <c:v>2000000</c:v>
                </c:pt>
                <c:pt idx="8">
                  <c:v>6500000</c:v>
                </c:pt>
                <c:pt idx="9">
                  <c:v>5000000</c:v>
                </c:pt>
                <c:pt idx="10">
                  <c:v>3000000</c:v>
                </c:pt>
                <c:pt idx="11">
                  <c:v>3000000</c:v>
                </c:pt>
              </c:numCache>
            </c:numRef>
          </c:val>
          <c:smooth val="0"/>
          <c:extLst>
            <c:ext xmlns:c16="http://schemas.microsoft.com/office/drawing/2014/chart" uri="{C3380CC4-5D6E-409C-BE32-E72D297353CC}">
              <c16:uniqueId val="{00000004-C08A-4938-9AD3-1C0D58F3722F}"/>
            </c:ext>
          </c:extLst>
        </c:ser>
        <c:ser>
          <c:idx val="3"/>
          <c:order val="3"/>
          <c:tx>
            <c:strRef>
              <c:f>Input!$M$1:$M$2</c:f>
              <c:strCache>
                <c:ptCount val="1"/>
                <c:pt idx="0">
                  <c:v>HO</c:v>
                </c:pt>
              </c:strCache>
            </c:strRef>
          </c:tx>
          <c:spPr>
            <a:ln w="28575" cap="rnd">
              <a:solidFill>
                <a:schemeClr val="accent4"/>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Input!$M$3:$M$14</c:f>
              <c:numCache>
                <c:formatCode>_(* #,##0_);_(* \(#,##0\);_(* "-"_);_(@_)</c:formatCode>
                <c:ptCount val="12"/>
                <c:pt idx="2">
                  <c:v>3000000</c:v>
                </c:pt>
                <c:pt idx="7">
                  <c:v>7000000</c:v>
                </c:pt>
                <c:pt idx="8">
                  <c:v>3000000</c:v>
                </c:pt>
                <c:pt idx="10">
                  <c:v>2000000</c:v>
                </c:pt>
              </c:numCache>
            </c:numRef>
          </c:val>
          <c:smooth val="0"/>
          <c:extLst>
            <c:ext xmlns:c16="http://schemas.microsoft.com/office/drawing/2014/chart" uri="{C3380CC4-5D6E-409C-BE32-E72D297353CC}">
              <c16:uniqueId val="{00000005-C08A-4938-9AD3-1C0D58F3722F}"/>
            </c:ext>
          </c:extLst>
        </c:ser>
        <c:ser>
          <c:idx val="4"/>
          <c:order val="4"/>
          <c:tx>
            <c:strRef>
              <c:f>Input!$N$1:$N$2</c:f>
              <c:strCache>
                <c:ptCount val="1"/>
                <c:pt idx="0">
                  <c:v>Payroll_SMB</c:v>
                </c:pt>
              </c:strCache>
            </c:strRef>
          </c:tx>
          <c:spPr>
            <a:ln w="28575" cap="rnd">
              <a:solidFill>
                <a:schemeClr val="accent5"/>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Input!$N$3:$N$14</c:f>
              <c:numCache>
                <c:formatCode>_(* #,##0_);_(* \(#,##0\);_(* "-"_);_(@_)</c:formatCode>
                <c:ptCount val="12"/>
                <c:pt idx="0">
                  <c:v>3000000</c:v>
                </c:pt>
                <c:pt idx="1">
                  <c:v>8066100</c:v>
                </c:pt>
                <c:pt idx="2">
                  <c:v>3000000</c:v>
                </c:pt>
                <c:pt idx="3">
                  <c:v>2000000</c:v>
                </c:pt>
                <c:pt idx="4">
                  <c:v>11500000</c:v>
                </c:pt>
                <c:pt idx="5">
                  <c:v>5000000</c:v>
                </c:pt>
                <c:pt idx="7">
                  <c:v>6000000</c:v>
                </c:pt>
                <c:pt idx="8">
                  <c:v>25000000</c:v>
                </c:pt>
                <c:pt idx="9">
                  <c:v>3000000</c:v>
                </c:pt>
                <c:pt idx="10">
                  <c:v>6000000</c:v>
                </c:pt>
                <c:pt idx="11">
                  <c:v>4000000</c:v>
                </c:pt>
              </c:numCache>
            </c:numRef>
          </c:val>
          <c:smooth val="0"/>
          <c:extLst>
            <c:ext xmlns:c16="http://schemas.microsoft.com/office/drawing/2014/chart" uri="{C3380CC4-5D6E-409C-BE32-E72D297353CC}">
              <c16:uniqueId val="{00000006-C08A-4938-9AD3-1C0D58F3722F}"/>
            </c:ext>
          </c:extLst>
        </c:ser>
        <c:ser>
          <c:idx val="5"/>
          <c:order val="5"/>
          <c:tx>
            <c:strRef>
              <c:f>Input!$O$1:$O$2</c:f>
              <c:strCache>
                <c:ptCount val="1"/>
                <c:pt idx="0">
                  <c:v>RO_SMB</c:v>
                </c:pt>
              </c:strCache>
            </c:strRef>
          </c:tx>
          <c:spPr>
            <a:ln w="28575" cap="rnd">
              <a:solidFill>
                <a:schemeClr val="accent6"/>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Input!$O$3:$O$14</c:f>
              <c:numCache>
                <c:formatCode>_(* #,##0_);_(* \(#,##0\);_(* "-"_);_(@_)</c:formatCode>
                <c:ptCount val="12"/>
                <c:pt idx="0">
                  <c:v>1500000</c:v>
                </c:pt>
                <c:pt idx="1">
                  <c:v>2000000</c:v>
                </c:pt>
                <c:pt idx="2">
                  <c:v>500000</c:v>
                </c:pt>
                <c:pt idx="3">
                  <c:v>3000000</c:v>
                </c:pt>
                <c:pt idx="4">
                  <c:v>7500000</c:v>
                </c:pt>
                <c:pt idx="5">
                  <c:v>7200000</c:v>
                </c:pt>
                <c:pt idx="6">
                  <c:v>3000000</c:v>
                </c:pt>
                <c:pt idx="7">
                  <c:v>5000000</c:v>
                </c:pt>
                <c:pt idx="8">
                  <c:v>13500000</c:v>
                </c:pt>
                <c:pt idx="9">
                  <c:v>1000000</c:v>
                </c:pt>
                <c:pt idx="11">
                  <c:v>1000000</c:v>
                </c:pt>
              </c:numCache>
            </c:numRef>
          </c:val>
          <c:smooth val="0"/>
          <c:extLst>
            <c:ext xmlns:c16="http://schemas.microsoft.com/office/drawing/2014/chart" uri="{C3380CC4-5D6E-409C-BE32-E72D297353CC}">
              <c16:uniqueId val="{00000007-C08A-4938-9AD3-1C0D58F3722F}"/>
            </c:ext>
          </c:extLst>
        </c:ser>
        <c:ser>
          <c:idx val="6"/>
          <c:order val="6"/>
          <c:tx>
            <c:strRef>
              <c:f>Input!$P$1:$P$2</c:f>
              <c:strCache>
                <c:ptCount val="1"/>
                <c:pt idx="0">
                  <c:v>RO_SSL</c:v>
                </c:pt>
              </c:strCache>
            </c:strRef>
          </c:tx>
          <c:spPr>
            <a:ln w="28575" cap="rnd">
              <a:solidFill>
                <a:schemeClr val="accent1">
                  <a:lumMod val="60000"/>
                </a:schemeClr>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Input!$P$3:$P$14</c:f>
              <c:numCache>
                <c:formatCode>_(* #,##0_);_(* \(#,##0\);_(* "-"_);_(@_)</c:formatCode>
                <c:ptCount val="12"/>
                <c:pt idx="1">
                  <c:v>875000</c:v>
                </c:pt>
                <c:pt idx="8">
                  <c:v>3000000</c:v>
                </c:pt>
              </c:numCache>
            </c:numRef>
          </c:val>
          <c:smooth val="0"/>
          <c:extLst>
            <c:ext xmlns:c16="http://schemas.microsoft.com/office/drawing/2014/chart" uri="{C3380CC4-5D6E-409C-BE32-E72D297353CC}">
              <c16:uniqueId val="{00000008-C08A-4938-9AD3-1C0D58F3722F}"/>
            </c:ext>
          </c:extLst>
        </c:ser>
        <c:ser>
          <c:idx val="7"/>
          <c:order val="7"/>
          <c:tx>
            <c:strRef>
              <c:f>Input!$Q$1:$Q$2</c:f>
              <c:strCache>
                <c:ptCount val="1"/>
                <c:pt idx="0">
                  <c:v>SIPIL</c:v>
                </c:pt>
              </c:strCache>
            </c:strRef>
          </c:tx>
          <c:spPr>
            <a:ln w="28575" cap="rnd">
              <a:solidFill>
                <a:schemeClr val="accent2">
                  <a:lumMod val="60000"/>
                </a:schemeClr>
              </a:solidFill>
              <a:round/>
            </a:ln>
            <a:effectLst/>
          </c:spPr>
          <c:marker>
            <c:symbol val="none"/>
          </c:marker>
          <c:cat>
            <c:strRef>
              <c:f>Input!$I$3:$I$14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Input!$Q$3:$Q$14</c:f>
              <c:numCache>
                <c:formatCode>_(* #,##0_);_(* \(#,##0\);_(* "-"_);_(@_)</c:formatCode>
                <c:ptCount val="12"/>
                <c:pt idx="10">
                  <c:v>11000000</c:v>
                </c:pt>
              </c:numCache>
            </c:numRef>
          </c:val>
          <c:smooth val="0"/>
          <c:extLst>
            <c:ext xmlns:c16="http://schemas.microsoft.com/office/drawing/2014/chart" uri="{C3380CC4-5D6E-409C-BE32-E72D297353CC}">
              <c16:uniqueId val="{00000009-C08A-4938-9AD3-1C0D58F3722F}"/>
            </c:ext>
          </c:extLst>
        </c:ser>
        <c:dLbls>
          <c:showLegendKey val="0"/>
          <c:showVal val="0"/>
          <c:showCatName val="0"/>
          <c:showSerName val="0"/>
          <c:showPercent val="0"/>
          <c:showBubbleSize val="0"/>
        </c:dLbls>
        <c:smooth val="0"/>
        <c:axId val="318564840"/>
        <c:axId val="318565200"/>
      </c:lineChart>
      <c:catAx>
        <c:axId val="318564840"/>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65200"/>
        <c:crosses val="max"/>
        <c:auto val="1"/>
        <c:lblAlgn val="ctr"/>
        <c:lblOffset val="100"/>
        <c:noMultiLvlLbl val="0"/>
      </c:catAx>
      <c:valAx>
        <c:axId val="3185652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6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Employee Loans byVeren.xlsx]Input!PivotTable2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baseline="0">
                <a:solidFill>
                  <a:schemeClr val="bg2">
                    <a:lumMod val="25000"/>
                  </a:schemeClr>
                </a:solidFill>
              </a:rPr>
              <a:t>Largest Employee Loan</a:t>
            </a:r>
            <a:endParaRPr lang="en-US" sz="2800" b="1">
              <a:solidFill>
                <a:schemeClr val="bg2">
                  <a:lumMod val="25000"/>
                </a:schemeClr>
              </a:solidFill>
            </a:endParaRPr>
          </a:p>
        </c:rich>
      </c:tx>
      <c:layout>
        <c:manualLayout>
          <c:xMode val="edge"/>
          <c:yMode val="edge"/>
          <c:x val="0.30294191514215013"/>
          <c:y val="1.71672516839009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444792232348"/>
          <c:y val="0.10454188407171996"/>
          <c:w val="0.85461185822861974"/>
          <c:h val="0.87875634822755588"/>
        </c:manualLayout>
      </c:layout>
      <c:barChart>
        <c:barDir val="bar"/>
        <c:grouping val="clustered"/>
        <c:varyColors val="0"/>
        <c:ser>
          <c:idx val="0"/>
          <c:order val="0"/>
          <c:tx>
            <c:strRef>
              <c:f>Input!$F$1</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Input!$E$2:$E$12</c:f>
              <c:strCache>
                <c:ptCount val="11"/>
                <c:pt idx="0">
                  <c:v>NATAN </c:v>
                </c:pt>
                <c:pt idx="1">
                  <c:v>JAWANA </c:v>
                </c:pt>
                <c:pt idx="2">
                  <c:v>ARAHAN</c:v>
                </c:pt>
                <c:pt idx="3">
                  <c:v>NOPI</c:v>
                </c:pt>
                <c:pt idx="4">
                  <c:v>ISHAQ</c:v>
                </c:pt>
                <c:pt idx="5">
                  <c:v>ANSYAH</c:v>
                </c:pt>
                <c:pt idx="6">
                  <c:v>ALIBA</c:v>
                </c:pt>
                <c:pt idx="7">
                  <c:v>PUTRAKU</c:v>
                </c:pt>
                <c:pt idx="8">
                  <c:v>GORDON</c:v>
                </c:pt>
                <c:pt idx="9">
                  <c:v>HERRY</c:v>
                </c:pt>
                <c:pt idx="10">
                  <c:v>RIVAL</c:v>
                </c:pt>
              </c:strCache>
            </c:strRef>
          </c:cat>
          <c:val>
            <c:numRef>
              <c:f>Input!$F$2:$F$12</c:f>
              <c:numCache>
                <c:formatCode>_(* #,##0_);_(* \(#,##0\);_(* "-"_);_(@_)</c:formatCode>
                <c:ptCount val="11"/>
                <c:pt idx="0">
                  <c:v>7000000</c:v>
                </c:pt>
                <c:pt idx="1">
                  <c:v>7000000</c:v>
                </c:pt>
                <c:pt idx="2">
                  <c:v>8000000</c:v>
                </c:pt>
                <c:pt idx="3">
                  <c:v>8000000</c:v>
                </c:pt>
                <c:pt idx="4">
                  <c:v>9500000</c:v>
                </c:pt>
                <c:pt idx="5">
                  <c:v>10000000</c:v>
                </c:pt>
                <c:pt idx="6">
                  <c:v>11000000</c:v>
                </c:pt>
                <c:pt idx="7">
                  <c:v>11605000</c:v>
                </c:pt>
                <c:pt idx="8">
                  <c:v>13334000</c:v>
                </c:pt>
                <c:pt idx="9">
                  <c:v>17500000</c:v>
                </c:pt>
                <c:pt idx="10">
                  <c:v>20000000</c:v>
                </c:pt>
              </c:numCache>
            </c:numRef>
          </c:val>
          <c:extLst>
            <c:ext xmlns:c16="http://schemas.microsoft.com/office/drawing/2014/chart" uri="{C3380CC4-5D6E-409C-BE32-E72D297353CC}">
              <c16:uniqueId val="{00000000-0134-49C8-A8FE-99F6E8CDA0A3}"/>
            </c:ext>
          </c:extLst>
        </c:ser>
        <c:dLbls>
          <c:dLblPos val="outEnd"/>
          <c:showLegendKey val="0"/>
          <c:showVal val="1"/>
          <c:showCatName val="0"/>
          <c:showSerName val="0"/>
          <c:showPercent val="0"/>
          <c:showBubbleSize val="0"/>
        </c:dLbls>
        <c:gapWidth val="70"/>
        <c:overlap val="4"/>
        <c:axId val="712238624"/>
        <c:axId val="712238984"/>
      </c:barChart>
      <c:catAx>
        <c:axId val="712238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238984"/>
        <c:crosses val="autoZero"/>
        <c:auto val="1"/>
        <c:lblAlgn val="ctr"/>
        <c:lblOffset val="100"/>
        <c:noMultiLvlLbl val="0"/>
      </c:catAx>
      <c:valAx>
        <c:axId val="712238984"/>
        <c:scaling>
          <c:orientation val="minMax"/>
        </c:scaling>
        <c:delete val="1"/>
        <c:axPos val="b"/>
        <c:numFmt formatCode="_(* #,##0_);_(* \(#,##0\);_(* &quot;-&quot;_);_(@_)" sourceLinked="1"/>
        <c:majorTickMark val="out"/>
        <c:minorTickMark val="none"/>
        <c:tickLblPos val="nextTo"/>
        <c:crossAx val="71223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0"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Employee Loans byVeren.xlsx]Input!PivotTable1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2000" b="1" i="0" u="none" strike="noStrike" kern="1200" spc="0" baseline="0">
                <a:solidFill>
                  <a:schemeClr val="bg2">
                    <a:lumMod val="25000"/>
                  </a:schemeClr>
                </a:solidFill>
              </a:rPr>
              <a:t>Employee Loan by Site</a:t>
            </a:r>
            <a:endParaRPr lang="en-US" sz="2800" b="1" i="0" u="none" strike="noStrike" kern="1200" spc="0" baseline="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w="19050">
            <a:solidFill>
              <a:schemeClr val="lt1"/>
            </a:solidFill>
          </a:ln>
          <a:effectLst/>
        </c:spPr>
      </c:pivotFmt>
      <c:pivotFmt>
        <c:idx val="13"/>
        <c:spPr>
          <a:solidFill>
            <a:schemeClr val="accent5">
              <a:lumMod val="75000"/>
            </a:schemeClr>
          </a:solidFill>
          <a:ln w="19050">
            <a:solidFill>
              <a:schemeClr val="lt1"/>
            </a:solidFill>
          </a:ln>
          <a:effectLst/>
        </c:spPr>
      </c:pivotFmt>
      <c:pivotFmt>
        <c:idx val="14"/>
        <c:spPr>
          <a:solidFill>
            <a:schemeClr val="accent3">
              <a:lumMod val="50000"/>
            </a:schemeClr>
          </a:solidFill>
          <a:ln w="19050">
            <a:solidFill>
              <a:schemeClr val="lt1"/>
            </a:solidFill>
          </a:ln>
          <a:effectLst/>
        </c:spPr>
      </c:pivotFmt>
      <c:pivotFmt>
        <c:idx val="15"/>
        <c:spPr>
          <a:solidFill>
            <a:schemeClr val="accent3">
              <a:lumMod val="60000"/>
              <a:lumOff val="40000"/>
            </a:schemeClr>
          </a:solidFill>
          <a:ln w="19050">
            <a:solidFill>
              <a:schemeClr val="lt1"/>
            </a:solidFill>
          </a:ln>
          <a:effectLst/>
        </c:spPr>
      </c:pivotFmt>
      <c:pivotFmt>
        <c:idx val="16"/>
        <c:spPr>
          <a:solidFill>
            <a:srgbClr val="E2DCD4"/>
          </a:solidFill>
          <a:ln w="19050">
            <a:solidFill>
              <a:schemeClr val="lt1"/>
            </a:solidFill>
          </a:ln>
          <a:effectLst/>
        </c:spPr>
      </c:pivotFmt>
      <c:pivotFmt>
        <c:idx val="17"/>
        <c:spPr>
          <a:solidFill>
            <a:schemeClr val="accent6">
              <a:lumMod val="20000"/>
              <a:lumOff val="80000"/>
            </a:schemeClr>
          </a:solidFill>
          <a:ln w="19050">
            <a:solidFill>
              <a:schemeClr val="lt1"/>
            </a:solidFill>
          </a:ln>
          <a:effectLst/>
        </c:spPr>
      </c:pivotFmt>
      <c:pivotFmt>
        <c:idx val="18"/>
        <c:spPr>
          <a:solidFill>
            <a:schemeClr val="accent1">
              <a:tint val="62000"/>
            </a:schemeClr>
          </a:solidFill>
          <a:ln w="19050">
            <a:solidFill>
              <a:schemeClr val="lt1"/>
            </a:solidFill>
          </a:ln>
          <a:effectLst/>
        </c:spPr>
      </c:pivotFmt>
      <c:pivotFmt>
        <c:idx val="19"/>
        <c:spPr>
          <a:solidFill>
            <a:schemeClr val="bg2">
              <a:lumMod val="90000"/>
            </a:schemeClr>
          </a:solidFill>
          <a:ln w="19050">
            <a:solidFill>
              <a:schemeClr val="lt1"/>
            </a:solidFill>
          </a:ln>
          <a:effectLst/>
        </c:spPr>
      </c:pivotFmt>
    </c:pivotFmts>
    <c:plotArea>
      <c:layout>
        <c:manualLayout>
          <c:layoutTarget val="inner"/>
          <c:xMode val="edge"/>
          <c:yMode val="edge"/>
          <c:x val="0.10842724921924635"/>
          <c:y val="0.15805017271658073"/>
          <c:w val="0.61250128663153358"/>
          <c:h val="0.8152831536176256"/>
        </c:manualLayout>
      </c:layout>
      <c:doughnutChart>
        <c:varyColors val="1"/>
        <c:ser>
          <c:idx val="0"/>
          <c:order val="0"/>
          <c:tx>
            <c:strRef>
              <c:f>Input!$B$6</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799C-412A-8204-34FC1890521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99C-412A-8204-34FC18905210}"/>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799C-412A-8204-34FC18905210}"/>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799C-412A-8204-34FC18905210}"/>
              </c:ext>
            </c:extLst>
          </c:dPt>
          <c:dPt>
            <c:idx val="4"/>
            <c:bubble3D val="0"/>
            <c:spPr>
              <a:solidFill>
                <a:srgbClr val="E2DCD4"/>
              </a:solidFill>
              <a:ln w="19050">
                <a:solidFill>
                  <a:schemeClr val="lt1"/>
                </a:solidFill>
              </a:ln>
              <a:effectLst/>
            </c:spPr>
            <c:extLst>
              <c:ext xmlns:c16="http://schemas.microsoft.com/office/drawing/2014/chart" uri="{C3380CC4-5D6E-409C-BE32-E72D297353CC}">
                <c16:uniqueId val="{00000009-799C-412A-8204-34FC18905210}"/>
              </c:ext>
            </c:extLst>
          </c:dPt>
          <c:dPt>
            <c:idx val="5"/>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B-799C-412A-8204-34FC18905210}"/>
              </c:ext>
            </c:extLst>
          </c:dPt>
          <c:dPt>
            <c:idx val="6"/>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00D-799C-412A-8204-34FC18905210}"/>
              </c:ext>
            </c:extLst>
          </c:dPt>
          <c:dPt>
            <c:idx val="7"/>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F-799C-412A-8204-34FC18905210}"/>
              </c:ext>
            </c:extLst>
          </c:dPt>
          <c:cat>
            <c:strRef>
              <c:f>Input!$A$7:$A$14</c:f>
              <c:strCache>
                <c:ptCount val="8"/>
                <c:pt idx="0">
                  <c:v>SSL</c:v>
                </c:pt>
                <c:pt idx="1">
                  <c:v>PPA</c:v>
                </c:pt>
                <c:pt idx="2">
                  <c:v>SAP</c:v>
                </c:pt>
                <c:pt idx="3">
                  <c:v>HO</c:v>
                </c:pt>
                <c:pt idx="4">
                  <c:v>Payroll_SMB</c:v>
                </c:pt>
                <c:pt idx="5">
                  <c:v>RO_SMB</c:v>
                </c:pt>
                <c:pt idx="6">
                  <c:v>RO_SSL</c:v>
                </c:pt>
                <c:pt idx="7">
                  <c:v>SIPIL</c:v>
                </c:pt>
              </c:strCache>
            </c:strRef>
          </c:cat>
          <c:val>
            <c:numRef>
              <c:f>Input!$B$7:$B$14</c:f>
              <c:numCache>
                <c:formatCode>_("Rp"* #,##0_);_("Rp"* \(#,##0\);_("Rp"* "-"_);_(@_)</c:formatCode>
                <c:ptCount val="8"/>
                <c:pt idx="0">
                  <c:v>18716530</c:v>
                </c:pt>
                <c:pt idx="1">
                  <c:v>29939000</c:v>
                </c:pt>
                <c:pt idx="2">
                  <c:v>24000000</c:v>
                </c:pt>
                <c:pt idx="3">
                  <c:v>15000000</c:v>
                </c:pt>
                <c:pt idx="4">
                  <c:v>76566100</c:v>
                </c:pt>
                <c:pt idx="5">
                  <c:v>45200000</c:v>
                </c:pt>
                <c:pt idx="6">
                  <c:v>3875000</c:v>
                </c:pt>
                <c:pt idx="7">
                  <c:v>11000000</c:v>
                </c:pt>
              </c:numCache>
            </c:numRef>
          </c:val>
          <c:extLst>
            <c:ext xmlns:c16="http://schemas.microsoft.com/office/drawing/2014/chart" uri="{C3380CC4-5D6E-409C-BE32-E72D297353CC}">
              <c16:uniqueId val="{00000010-799C-412A-8204-34FC1890521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790917644728393"/>
          <c:y val="0.20088939580259602"/>
          <c:w val="0.2001442083890457"/>
          <c:h val="0.67584608570706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Employee Loans byVeren.xlsx]Input!PivotTable6</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u="none" strike="noStrike" baseline="0"/>
              <a:t>Employee Loan Bank Transfer</a:t>
            </a:r>
            <a:endParaRPr lang="en-US"/>
          </a:p>
        </c:rich>
      </c:tx>
      <c:layout>
        <c:manualLayout>
          <c:xMode val="edge"/>
          <c:yMode val="edge"/>
          <c:x val="0.10914287054702407"/>
          <c:y val="3.5393865394727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Input!$K$25</c:f>
              <c:strCache>
                <c:ptCount val="1"/>
                <c:pt idx="0">
                  <c:v>Total</c:v>
                </c:pt>
              </c:strCache>
            </c:strRef>
          </c:tx>
          <c:spPr>
            <a:solidFill>
              <a:schemeClr val="tx1">
                <a:lumMod val="50000"/>
                <a:lumOff val="50000"/>
              </a:schemeClr>
            </a:solidFill>
            <a:ln>
              <a:noFill/>
            </a:ln>
            <a:effectLst/>
            <a:sp3d/>
          </c:spPr>
          <c:invertIfNegative val="0"/>
          <c:cat>
            <c:strRef>
              <c:f>Input!$J$26:$J$29</c:f>
              <c:strCache>
                <c:ptCount val="4"/>
                <c:pt idx="0">
                  <c:v>Bank A</c:v>
                </c:pt>
                <c:pt idx="1">
                  <c:v>Bank B</c:v>
                </c:pt>
                <c:pt idx="2">
                  <c:v>Bank C</c:v>
                </c:pt>
                <c:pt idx="3">
                  <c:v>Bank D</c:v>
                </c:pt>
              </c:strCache>
            </c:strRef>
          </c:cat>
          <c:val>
            <c:numRef>
              <c:f>Input!$K$26:$K$29</c:f>
              <c:numCache>
                <c:formatCode>_(* #,##0_);_(* \(#,##0\);_(* "-"_);_(@_)</c:formatCode>
                <c:ptCount val="4"/>
                <c:pt idx="0">
                  <c:v>30400100</c:v>
                </c:pt>
                <c:pt idx="1">
                  <c:v>154070246</c:v>
                </c:pt>
                <c:pt idx="2">
                  <c:v>12375000</c:v>
                </c:pt>
                <c:pt idx="3">
                  <c:v>27451284</c:v>
                </c:pt>
              </c:numCache>
            </c:numRef>
          </c:val>
          <c:extLst>
            <c:ext xmlns:c16="http://schemas.microsoft.com/office/drawing/2014/chart" uri="{C3380CC4-5D6E-409C-BE32-E72D297353CC}">
              <c16:uniqueId val="{00000000-BBF8-4D2C-85F6-E3375AC0F15B}"/>
            </c:ext>
          </c:extLst>
        </c:ser>
        <c:dLbls>
          <c:showLegendKey val="0"/>
          <c:showVal val="0"/>
          <c:showCatName val="0"/>
          <c:showSerName val="0"/>
          <c:showPercent val="0"/>
          <c:showBubbleSize val="0"/>
        </c:dLbls>
        <c:gapWidth val="150"/>
        <c:shape val="box"/>
        <c:axId val="1409768176"/>
        <c:axId val="1409766376"/>
        <c:axId val="0"/>
      </c:bar3DChart>
      <c:catAx>
        <c:axId val="140976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66376"/>
        <c:crosses val="autoZero"/>
        <c:auto val="1"/>
        <c:lblAlgn val="ctr"/>
        <c:lblOffset val="100"/>
        <c:noMultiLvlLbl val="0"/>
      </c:catAx>
      <c:valAx>
        <c:axId val="14097663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6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2.emf"/><Relationship Id="rId5" Type="http://schemas.openxmlformats.org/officeDocument/2006/relationships/chart" Target="../charts/chart3.xml"/><Relationship Id="rId4"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2473730</xdr:colOff>
      <xdr:row>0</xdr:row>
      <xdr:rowOff>0</xdr:rowOff>
    </xdr:from>
    <xdr:to>
      <xdr:col>15</xdr:col>
      <xdr:colOff>27213</xdr:colOff>
      <xdr:row>1</xdr:row>
      <xdr:rowOff>154686</xdr:rowOff>
    </xdr:to>
    <xdr:sp macro="" textlink="">
      <xdr:nvSpPr>
        <xdr:cNvPr id="2" name="Rectangle 1">
          <a:extLst>
            <a:ext uri="{FF2B5EF4-FFF2-40B4-BE49-F238E27FC236}">
              <a16:creationId xmlns:a16="http://schemas.microsoft.com/office/drawing/2014/main" id="{46C8C453-307F-AF5E-3982-02565CC3AA1B}"/>
            </a:ext>
          </a:extLst>
        </xdr:cNvPr>
        <xdr:cNvSpPr/>
      </xdr:nvSpPr>
      <xdr:spPr>
        <a:xfrm>
          <a:off x="2664230" y="0"/>
          <a:ext cx="11650483" cy="649986"/>
        </a:xfrm>
        <a:prstGeom prst="rect">
          <a:avLst/>
        </a:prstGeom>
        <a:solidFill>
          <a:schemeClr val="tx1">
            <a:lumMod val="95000"/>
            <a:lumOff val="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800" b="1" i="0" u="none" strike="noStrike" spc="200" baseline="0">
              <a:solidFill>
                <a:schemeClr val="bg1"/>
              </a:solidFill>
              <a:latin typeface="Amasis MT Pro Medium" panose="020F0502020204030204" pitchFamily="18" charset="0"/>
              <a:ea typeface="ADLaM Display" panose="02010000000000000000" pitchFamily="2" charset="0"/>
              <a:cs typeface="ADLaM Display" panose="02010000000000000000" pitchFamily="2" charset="0"/>
            </a:rPr>
            <a:t>EMPLOYEE LOAN DASHBOARD</a:t>
          </a:r>
        </a:p>
      </xdr:txBody>
    </xdr:sp>
    <xdr:clientData/>
  </xdr:twoCellAnchor>
  <xdr:twoCellAnchor editAs="oneCell">
    <xdr:from>
      <xdr:col>1</xdr:col>
      <xdr:colOff>253344</xdr:colOff>
      <xdr:row>0</xdr:row>
      <xdr:rowOff>0</xdr:rowOff>
    </xdr:from>
    <xdr:to>
      <xdr:col>1</xdr:col>
      <xdr:colOff>2245725</xdr:colOff>
      <xdr:row>4</xdr:row>
      <xdr:rowOff>107255</xdr:rowOff>
    </xdr:to>
    <xdr:pic>
      <xdr:nvPicPr>
        <xdr:cNvPr id="8" name="Picture 7">
          <a:extLst>
            <a:ext uri="{FF2B5EF4-FFF2-40B4-BE49-F238E27FC236}">
              <a16:creationId xmlns:a16="http://schemas.microsoft.com/office/drawing/2014/main" id="{8A73EF0B-B08C-E68D-135F-DC3642FE29A9}"/>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7492" b="73616" l="30122" r="69634">
                      <a14:foregroundMark x1="47073" y1="15635" x2="47073" y2="15635"/>
                      <a14:foregroundMark x1="44634" y1="16938" x2="44634" y2="16938"/>
                      <a14:foregroundMark x1="44634" y1="16938" x2="44634" y2="16938"/>
                      <a14:foregroundMark x1="31098" y1="65147" x2="31098" y2="65147"/>
                      <a14:foregroundMark x1="31098" y1="65147" x2="31098" y2="65147"/>
                      <a14:foregroundMark x1="30122" y1="73290" x2="30122" y2="73290"/>
                      <a14:foregroundMark x1="30122" y1="73290" x2="30122" y2="73290"/>
                      <a14:foregroundMark x1="33293" y1="65798" x2="33293" y2="65798"/>
                      <a14:foregroundMark x1="33293" y1="65472" x2="33293" y2="65472"/>
                      <a14:foregroundMark x1="36829" y1="65472" x2="36829" y2="65472"/>
                      <a14:foregroundMark x1="36829" y1="65472" x2="36829" y2="65472"/>
                      <a14:foregroundMark x1="42683" y1="65798" x2="42683" y2="65798"/>
                      <a14:foregroundMark x1="42683" y1="65798" x2="42683" y2="65798"/>
                      <a14:foregroundMark x1="45610" y1="66124" x2="45610" y2="66124"/>
                      <a14:foregroundMark x1="45610" y1="66124" x2="45610" y2="66124"/>
                      <a14:foregroundMark x1="48293" y1="69055" x2="48293" y2="69055"/>
                      <a14:foregroundMark x1="48293" y1="69055" x2="48293" y2="69055"/>
                      <a14:foregroundMark x1="52561" y1="69055" x2="52561" y2="69055"/>
                      <a14:foregroundMark x1="52561" y1="69055" x2="52561" y2="69055"/>
                      <a14:foregroundMark x1="58780" y1="69707" x2="58780" y2="69707"/>
                      <a14:foregroundMark x1="60610" y1="66775" x2="60610" y2="66775"/>
                      <a14:foregroundMark x1="64146" y1="66775" x2="64146" y2="66775"/>
                      <a14:foregroundMark x1="69146" y1="65472" x2="69146" y2="65472"/>
                      <a14:foregroundMark x1="63659" y1="71336" x2="63659" y2="71336"/>
                      <a14:foregroundMark x1="63659" y1="72638" x2="63659" y2="72638"/>
                      <a14:foregroundMark x1="68049" y1="70684" x2="68049" y2="70684"/>
                      <a14:foregroundMark x1="69268" y1="64821" x2="69268" y2="64821"/>
                      <a14:foregroundMark x1="66463" y1="71336" x2="66463" y2="71336"/>
                      <a14:foregroundMark x1="56098" y1="70684" x2="56098" y2="70684"/>
                      <a14:foregroundMark x1="56463" y1="73616" x2="56463" y2="73616"/>
                      <a14:foregroundMark x1="69634" y1="64169" x2="69634" y2="64169"/>
                      <a14:foregroundMark x1="31585" y1="64169" x2="31585" y2="64169"/>
                      <a14:foregroundMark x1="31341" y1="65147" x2="31341" y2="65147"/>
                      <a14:foregroundMark x1="55890" y1="32281" x2="55890" y2="32281"/>
                      <a14:foregroundMark x1="30199" y1="65614" x2="30199" y2="65614"/>
                      <a14:foregroundMark x1="51523" y1="27719" x2="51523" y2="27719"/>
                      <a14:foregroundMark x1="51523" y1="27719" x2="51523" y2="27719"/>
                      <a14:foregroundMark x1="51656" y1="27368" x2="51656" y2="27368"/>
                      <a14:foregroundMark x1="51656" y1="27368" x2="51656" y2="27368"/>
                      <a14:foregroundMark x1="51656" y1="27368" x2="51656" y2="27368"/>
                      <a14:foregroundMark x1="51656" y1="27368" x2="51656" y2="27368"/>
                      <a14:foregroundMark x1="51656" y1="27368" x2="51656" y2="27368"/>
                      <a14:foregroundMark x1="51656" y1="27368" x2="51656" y2="27368"/>
                      <a14:foregroundMark x1="51656" y1="27368" x2="51656" y2="27368"/>
                      <a14:foregroundMark x1="53907" y1="34386" x2="53907" y2="34386"/>
                      <a14:foregroundMark x1="56291" y1="36491" x2="56291" y2="36491"/>
                      <a14:foregroundMark x1="57616" y1="38947" x2="57616" y2="38947"/>
                      <a14:foregroundMark x1="56954" y1="39298" x2="56954" y2="39298"/>
                      <a14:foregroundMark x1="56821" y1="40351" x2="56821" y2="40351"/>
                      <a14:foregroundMark x1="56556" y1="46316" x2="56556" y2="46316"/>
                      <a14:foregroundMark x1="64371" y1="48070" x2="64371" y2="48070"/>
                      <a14:backgroundMark x1="45122" y1="70033" x2="45122" y2="70033"/>
                      <a14:backgroundMark x1="60976" y1="70358" x2="60976" y2="70358"/>
                      <a14:backgroundMark x1="66098" y1="69381" x2="66098" y2="69381"/>
                      <a14:backgroundMark x1="31098" y1="66124" x2="31098" y2="66124"/>
                      <a14:backgroundMark x1="31220" y1="65472" x2="31220" y2="65472"/>
                      <a14:backgroundMark x1="69268" y1="65472" x2="69268" y2="65472"/>
                    </a14:backgroundRemoval>
                  </a14:imgEffect>
                </a14:imgLayer>
              </a14:imgProps>
            </a:ext>
            <a:ext uri="{28A0092B-C50C-407E-A947-70E740481C1C}">
              <a14:useLocalDpi xmlns:a14="http://schemas.microsoft.com/office/drawing/2010/main" val="0"/>
            </a:ext>
          </a:extLst>
        </a:blip>
        <a:srcRect l="27451" t="6349" r="29412" b="23405"/>
        <a:stretch>
          <a:fillRect/>
        </a:stretch>
      </xdr:blipFill>
      <xdr:spPr>
        <a:xfrm>
          <a:off x="443844" y="0"/>
          <a:ext cx="1992381" cy="1215619"/>
        </a:xfrm>
        <a:prstGeom prst="rect">
          <a:avLst/>
        </a:prstGeom>
      </xdr:spPr>
    </xdr:pic>
    <xdr:clientData/>
  </xdr:twoCellAnchor>
  <xdr:twoCellAnchor>
    <xdr:from>
      <xdr:col>2</xdr:col>
      <xdr:colOff>122865</xdr:colOff>
      <xdr:row>22</xdr:row>
      <xdr:rowOff>190496</xdr:rowOff>
    </xdr:from>
    <xdr:to>
      <xdr:col>7</xdr:col>
      <xdr:colOff>591911</xdr:colOff>
      <xdr:row>36</xdr:row>
      <xdr:rowOff>55675</xdr:rowOff>
    </xdr:to>
    <xdr:graphicFrame macro="">
      <xdr:nvGraphicFramePr>
        <xdr:cNvPr id="13" name="Chart 12">
          <a:extLst>
            <a:ext uri="{FF2B5EF4-FFF2-40B4-BE49-F238E27FC236}">
              <a16:creationId xmlns:a16="http://schemas.microsoft.com/office/drawing/2014/main" id="{32947E15-C022-4DD1-8D46-9C71E7D34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715826</xdr:colOff>
      <xdr:row>5</xdr:row>
      <xdr:rowOff>122463</xdr:rowOff>
    </xdr:from>
    <xdr:to>
      <xdr:col>14</xdr:col>
      <xdr:colOff>789213</xdr:colOff>
      <xdr:row>22</xdr:row>
      <xdr:rowOff>115141</xdr:rowOff>
    </xdr:to>
    <xdr:graphicFrame macro="">
      <xdr:nvGraphicFramePr>
        <xdr:cNvPr id="15" name="Chart 14">
          <a:extLst>
            <a:ext uri="{FF2B5EF4-FFF2-40B4-BE49-F238E27FC236}">
              <a16:creationId xmlns:a16="http://schemas.microsoft.com/office/drawing/2014/main" id="{78FED240-C739-4E8E-B53C-BB3C29600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122464</xdr:colOff>
      <xdr:row>5</xdr:row>
      <xdr:rowOff>123824</xdr:rowOff>
    </xdr:from>
    <xdr:to>
      <xdr:col>7</xdr:col>
      <xdr:colOff>592732</xdr:colOff>
      <xdr:row>22</xdr:row>
      <xdr:rowOff>116502</xdr:rowOff>
    </xdr:to>
    <xdr:graphicFrame macro="">
      <xdr:nvGraphicFramePr>
        <xdr:cNvPr id="16" name="Chart 15">
          <a:extLst>
            <a:ext uri="{FF2B5EF4-FFF2-40B4-BE49-F238E27FC236}">
              <a16:creationId xmlns:a16="http://schemas.microsoft.com/office/drawing/2014/main" id="{769F6769-2D2A-4583-AB72-671AB6D27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184994</xdr:colOff>
      <xdr:row>5</xdr:row>
      <xdr:rowOff>179448</xdr:rowOff>
    </xdr:from>
    <xdr:to>
      <xdr:col>1</xdr:col>
      <xdr:colOff>2344994</xdr:colOff>
      <xdr:row>8</xdr:row>
      <xdr:rowOff>3123</xdr:rowOff>
    </xdr:to>
    <xdr:grpSp>
      <xdr:nvGrpSpPr>
        <xdr:cNvPr id="20" name="Group 19">
          <a:extLst>
            <a:ext uri="{FF2B5EF4-FFF2-40B4-BE49-F238E27FC236}">
              <a16:creationId xmlns:a16="http://schemas.microsoft.com/office/drawing/2014/main" id="{228EA9E4-30D0-EA83-C17F-3B4FD76EEAA6}"/>
            </a:ext>
          </a:extLst>
        </xdr:cNvPr>
        <xdr:cNvGrpSpPr/>
      </xdr:nvGrpSpPr>
      <xdr:grpSpPr>
        <a:xfrm>
          <a:off x="375494" y="1478312"/>
          <a:ext cx="2160000" cy="897402"/>
          <a:chOff x="209548" y="1191696"/>
          <a:chExt cx="2880000" cy="831925"/>
        </a:xfrm>
      </xdr:grpSpPr>
      <xdr:sp macro="" textlink="">
        <xdr:nvSpPr>
          <xdr:cNvPr id="3" name="Rectangle 2">
            <a:extLst>
              <a:ext uri="{FF2B5EF4-FFF2-40B4-BE49-F238E27FC236}">
                <a16:creationId xmlns:a16="http://schemas.microsoft.com/office/drawing/2014/main" id="{78C6EA0B-D855-435D-A3F7-67CB9938C35D}"/>
              </a:ext>
            </a:extLst>
          </xdr:cNvPr>
          <xdr:cNvSpPr/>
        </xdr:nvSpPr>
        <xdr:spPr>
          <a:xfrm>
            <a:off x="209548" y="1195621"/>
            <a:ext cx="2880000" cy="828000"/>
          </a:xfrm>
          <a:prstGeom prst="rect">
            <a:avLst/>
          </a:prstGeom>
          <a:solidFill>
            <a:schemeClr val="tx1">
              <a:lumMod val="85000"/>
              <a:lumOff val="1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Input!A3">
        <xdr:nvSpPr>
          <xdr:cNvPr id="11" name="TextBox 10">
            <a:extLst>
              <a:ext uri="{FF2B5EF4-FFF2-40B4-BE49-F238E27FC236}">
                <a16:creationId xmlns:a16="http://schemas.microsoft.com/office/drawing/2014/main" id="{35B4D088-A7B0-4075-99A1-B7930B3108A9}"/>
              </a:ext>
            </a:extLst>
          </xdr:cNvPr>
          <xdr:cNvSpPr txBox="1"/>
        </xdr:nvSpPr>
        <xdr:spPr>
          <a:xfrm>
            <a:off x="381241" y="1584463"/>
            <a:ext cx="2640000" cy="33297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096A277-86CD-4FA3-9FDA-B149DFA4F22F}" type="TxLink">
              <a:rPr lang="en-US" sz="14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rPr>
              <a:pPr marL="0" indent="0" algn="r"/>
              <a:t>Rp 224.296.630</a:t>
            </a:fld>
            <a:endParaRPr lang="en-ID" sz="14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endParaRPr>
          </a:p>
        </xdr:txBody>
      </xdr:sp>
      <xdr:sp macro="" textlink="">
        <xdr:nvSpPr>
          <xdr:cNvPr id="17" name="TextBox 16">
            <a:extLst>
              <a:ext uri="{FF2B5EF4-FFF2-40B4-BE49-F238E27FC236}">
                <a16:creationId xmlns:a16="http://schemas.microsoft.com/office/drawing/2014/main" id="{D9B4CF54-0078-407F-9B43-F171E017EE8A}"/>
              </a:ext>
            </a:extLst>
          </xdr:cNvPr>
          <xdr:cNvSpPr txBox="1"/>
        </xdr:nvSpPr>
        <xdr:spPr>
          <a:xfrm>
            <a:off x="298490" y="1191696"/>
            <a:ext cx="2612267" cy="30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Employee Loan</a:t>
            </a:r>
            <a:r>
              <a:rPr lang="en-US"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a:t>
            </a:r>
            <a:endParaRPr lang="en-ID"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endParaRPr>
          </a:p>
          <a:p>
            <a:endParaRPr lang="en-ID" sz="16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endParaRPr>
          </a:p>
        </xdr:txBody>
      </xdr:sp>
    </xdr:grpSp>
    <xdr:clientData/>
  </xdr:twoCellAnchor>
  <xdr:twoCellAnchor>
    <xdr:from>
      <xdr:col>1</xdr:col>
      <xdr:colOff>159219</xdr:colOff>
      <xdr:row>16</xdr:row>
      <xdr:rowOff>70680</xdr:rowOff>
    </xdr:from>
    <xdr:to>
      <xdr:col>1</xdr:col>
      <xdr:colOff>2319219</xdr:colOff>
      <xdr:row>21</xdr:row>
      <xdr:rowOff>18180</xdr:rowOff>
    </xdr:to>
    <xdr:grpSp>
      <xdr:nvGrpSpPr>
        <xdr:cNvPr id="21" name="Group 20">
          <a:extLst>
            <a:ext uri="{FF2B5EF4-FFF2-40B4-BE49-F238E27FC236}">
              <a16:creationId xmlns:a16="http://schemas.microsoft.com/office/drawing/2014/main" id="{BC61B8D5-65EB-77E1-86C7-8808F9C4F073}"/>
            </a:ext>
          </a:extLst>
        </xdr:cNvPr>
        <xdr:cNvGrpSpPr/>
      </xdr:nvGrpSpPr>
      <xdr:grpSpPr>
        <a:xfrm>
          <a:off x="349719" y="3984589"/>
          <a:ext cx="2160000" cy="900000"/>
          <a:chOff x="3253164" y="1181102"/>
          <a:chExt cx="2880000" cy="828000"/>
        </a:xfrm>
      </xdr:grpSpPr>
      <xdr:sp macro="" textlink="">
        <xdr:nvSpPr>
          <xdr:cNvPr id="6" name="Rectangle 5">
            <a:extLst>
              <a:ext uri="{FF2B5EF4-FFF2-40B4-BE49-F238E27FC236}">
                <a16:creationId xmlns:a16="http://schemas.microsoft.com/office/drawing/2014/main" id="{633DC850-2D28-4CFF-9971-A82A4005D326}"/>
              </a:ext>
            </a:extLst>
          </xdr:cNvPr>
          <xdr:cNvSpPr/>
        </xdr:nvSpPr>
        <xdr:spPr>
          <a:xfrm>
            <a:off x="3253164" y="1181102"/>
            <a:ext cx="2880000" cy="828000"/>
          </a:xfrm>
          <a:prstGeom prst="rect">
            <a:avLst/>
          </a:prstGeom>
          <a:solidFill>
            <a:schemeClr val="tx1">
              <a:lumMod val="85000"/>
              <a:lumOff val="1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Input!B3">
        <xdr:nvSpPr>
          <xdr:cNvPr id="12" name="TextBox 11">
            <a:extLst>
              <a:ext uri="{FF2B5EF4-FFF2-40B4-BE49-F238E27FC236}">
                <a16:creationId xmlns:a16="http://schemas.microsoft.com/office/drawing/2014/main" id="{7E8E0D0A-A5B1-4594-BC83-E0EC8837F5B7}"/>
              </a:ext>
            </a:extLst>
          </xdr:cNvPr>
          <xdr:cNvSpPr txBox="1"/>
        </xdr:nvSpPr>
        <xdr:spPr>
          <a:xfrm>
            <a:off x="3388139" y="1577680"/>
            <a:ext cx="2640000" cy="3312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6DD3B0-C245-401E-A58F-6A29D551EB10}" type="TxLink">
              <a:rPr lang="en-US" sz="14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rPr>
              <a:pPr marL="0" indent="0" algn="r"/>
              <a:t>Rp 200.296.630</a:t>
            </a:fld>
            <a:endParaRPr lang="en-ID" sz="14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endParaRPr>
          </a:p>
        </xdr:txBody>
      </xdr:sp>
      <xdr:sp macro="" textlink="">
        <xdr:nvSpPr>
          <xdr:cNvPr id="18" name="TextBox 17">
            <a:extLst>
              <a:ext uri="{FF2B5EF4-FFF2-40B4-BE49-F238E27FC236}">
                <a16:creationId xmlns:a16="http://schemas.microsoft.com/office/drawing/2014/main" id="{E0A62FBB-E1AE-473F-9CF5-F4CEF0266EA3}"/>
              </a:ext>
            </a:extLst>
          </xdr:cNvPr>
          <xdr:cNvSpPr txBox="1"/>
        </xdr:nvSpPr>
        <xdr:spPr>
          <a:xfrm>
            <a:off x="3343129" y="1193378"/>
            <a:ext cx="2437976" cy="30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Paid</a:t>
            </a:r>
            <a:r>
              <a:rPr lang="en-ID" sz="1600" b="0" i="0" u="none" strike="noStrike" baseline="0">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 Amount</a:t>
            </a:r>
            <a:r>
              <a:rPr lang="en-ID"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  </a:t>
            </a:r>
            <a:r>
              <a:rPr lang="en-US"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a:t>
            </a:r>
            <a:endParaRPr lang="en-ID"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endParaRPr>
          </a:p>
          <a:p>
            <a:endParaRPr lang="en-ID" sz="16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endParaRPr>
          </a:p>
        </xdr:txBody>
      </xdr:sp>
    </xdr:grpSp>
    <xdr:clientData/>
  </xdr:twoCellAnchor>
  <xdr:twoCellAnchor>
    <xdr:from>
      <xdr:col>1</xdr:col>
      <xdr:colOff>164263</xdr:colOff>
      <xdr:row>9</xdr:row>
      <xdr:rowOff>156397</xdr:rowOff>
    </xdr:from>
    <xdr:to>
      <xdr:col>1</xdr:col>
      <xdr:colOff>2324263</xdr:colOff>
      <xdr:row>14</xdr:row>
      <xdr:rowOff>84847</xdr:rowOff>
    </xdr:to>
    <xdr:grpSp>
      <xdr:nvGrpSpPr>
        <xdr:cNvPr id="7" name="Group 6">
          <a:extLst>
            <a:ext uri="{FF2B5EF4-FFF2-40B4-BE49-F238E27FC236}">
              <a16:creationId xmlns:a16="http://schemas.microsoft.com/office/drawing/2014/main" id="{8EA39567-3CB3-A3F2-967B-F753C0C024FF}"/>
            </a:ext>
          </a:extLst>
        </xdr:cNvPr>
        <xdr:cNvGrpSpPr/>
      </xdr:nvGrpSpPr>
      <xdr:grpSpPr>
        <a:xfrm>
          <a:off x="354763" y="2719488"/>
          <a:ext cx="2160000" cy="898268"/>
          <a:chOff x="6348228" y="1163246"/>
          <a:chExt cx="2880000" cy="828000"/>
        </a:xfrm>
      </xdr:grpSpPr>
      <xdr:sp macro="" textlink="">
        <xdr:nvSpPr>
          <xdr:cNvPr id="5" name="Rectangle 4">
            <a:extLst>
              <a:ext uri="{FF2B5EF4-FFF2-40B4-BE49-F238E27FC236}">
                <a16:creationId xmlns:a16="http://schemas.microsoft.com/office/drawing/2014/main" id="{1F2A301C-CD84-4EAC-973B-3A214596332E}"/>
              </a:ext>
            </a:extLst>
          </xdr:cNvPr>
          <xdr:cNvSpPr/>
        </xdr:nvSpPr>
        <xdr:spPr>
          <a:xfrm>
            <a:off x="6348228" y="1163246"/>
            <a:ext cx="2880000" cy="828000"/>
          </a:xfrm>
          <a:prstGeom prst="rect">
            <a:avLst/>
          </a:prstGeom>
          <a:solidFill>
            <a:schemeClr val="tx1">
              <a:lumMod val="85000"/>
              <a:lumOff val="1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nvGrpSpPr>
          <xdr:cNvPr id="4" name="Group 3">
            <a:extLst>
              <a:ext uri="{FF2B5EF4-FFF2-40B4-BE49-F238E27FC236}">
                <a16:creationId xmlns:a16="http://schemas.microsoft.com/office/drawing/2014/main" id="{283694B2-088E-9634-9E09-6356E1CF1C9E}"/>
              </a:ext>
            </a:extLst>
          </xdr:cNvPr>
          <xdr:cNvGrpSpPr/>
        </xdr:nvGrpSpPr>
        <xdr:grpSpPr>
          <a:xfrm>
            <a:off x="6488059" y="1239882"/>
            <a:ext cx="2733456" cy="654306"/>
            <a:chOff x="6488059" y="1239882"/>
            <a:chExt cx="2733456" cy="654306"/>
          </a:xfrm>
        </xdr:grpSpPr>
        <xdr:sp macro="" textlink="Input!C3">
          <xdr:nvSpPr>
            <xdr:cNvPr id="10" name="TextBox 9">
              <a:extLst>
                <a:ext uri="{FF2B5EF4-FFF2-40B4-BE49-F238E27FC236}">
                  <a16:creationId xmlns:a16="http://schemas.microsoft.com/office/drawing/2014/main" id="{1682DBC5-DEFE-23C9-13FF-980ED0DA8A82}"/>
                </a:ext>
              </a:extLst>
            </xdr:cNvPr>
            <xdr:cNvSpPr txBox="1"/>
          </xdr:nvSpPr>
          <xdr:spPr>
            <a:xfrm>
              <a:off x="6517164" y="1564220"/>
              <a:ext cx="2640000" cy="3299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9C6C302-1F84-4C0D-8663-7268B6F7BBC1}" type="TxLink">
                <a:rPr lang="en-US" sz="14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rPr>
                <a:pPr marL="0" indent="0" algn="r"/>
                <a:t>Rp 24.000.000</a:t>
              </a:fld>
              <a:endParaRPr lang="en-ID" sz="14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endParaRPr>
            </a:p>
          </xdr:txBody>
        </xdr:sp>
        <xdr:sp macro="" textlink="">
          <xdr:nvSpPr>
            <xdr:cNvPr id="19" name="TextBox 18">
              <a:extLst>
                <a:ext uri="{FF2B5EF4-FFF2-40B4-BE49-F238E27FC236}">
                  <a16:creationId xmlns:a16="http://schemas.microsoft.com/office/drawing/2014/main" id="{031E5E9E-D160-4A5B-8DF1-39BBF1EEC2BD}"/>
                </a:ext>
              </a:extLst>
            </xdr:cNvPr>
            <xdr:cNvSpPr txBox="1"/>
          </xdr:nvSpPr>
          <xdr:spPr>
            <a:xfrm>
              <a:off x="6488059" y="1239882"/>
              <a:ext cx="2733456" cy="30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Remaining</a:t>
              </a:r>
              <a:r>
                <a:rPr lang="en-US"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rPr>
                <a:t>🔔</a:t>
              </a:r>
              <a:endParaRPr lang="en-ID" sz="1600" b="0" i="0" u="none" strike="noStrike">
                <a:solidFill>
                  <a:srgbClr val="FEEFE2"/>
                </a:solidFill>
                <a:latin typeface="Aptos Slab ExtraBold" panose="020B0004020202020204" pitchFamily="34" charset="0"/>
                <a:ea typeface="ADLaM Display" panose="02010000000000000000" pitchFamily="2" charset="0"/>
                <a:cs typeface="ADLaM Display" panose="02010000000000000000" pitchFamily="2" charset="0"/>
              </a:endParaRPr>
            </a:p>
            <a:p>
              <a:endParaRPr lang="en-ID" sz="1600" b="0" i="0" u="none" strike="noStrike">
                <a:solidFill>
                  <a:schemeClr val="bg1"/>
                </a:solidFill>
                <a:latin typeface="Aptos Slab ExtraBold" panose="020B0004020202020204" pitchFamily="34" charset="0"/>
                <a:ea typeface="ADLaM Display" panose="02010000000000000000" pitchFamily="2" charset="0"/>
                <a:cs typeface="ADLaM Display" panose="02010000000000000000" pitchFamily="2" charset="0"/>
              </a:endParaRPr>
            </a:p>
          </xdr:txBody>
        </xdr:sp>
      </xdr:grpSp>
    </xdr:grpSp>
    <xdr:clientData/>
  </xdr:twoCellAnchor>
  <xdr:twoCellAnchor editAs="oneCell">
    <xdr:from>
      <xdr:col>2</xdr:col>
      <xdr:colOff>142877</xdr:colOff>
      <xdr:row>2</xdr:row>
      <xdr:rowOff>13609</xdr:rowOff>
    </xdr:from>
    <xdr:to>
      <xdr:col>10</xdr:col>
      <xdr:colOff>530679</xdr:colOff>
      <xdr:row>5</xdr:row>
      <xdr:rowOff>81643</xdr:rowOff>
    </xdr:to>
    <mc:AlternateContent xmlns:mc="http://schemas.openxmlformats.org/markup-compatibility/2006" xmlns:a14="http://schemas.microsoft.com/office/drawing/2010/main">
      <mc:Choice Requires="a14">
        <xdr:graphicFrame macro="">
          <xdr:nvGraphicFramePr>
            <xdr:cNvPr id="33" name="Months (Tanggal Pinjaman)">
              <a:extLst>
                <a:ext uri="{FF2B5EF4-FFF2-40B4-BE49-F238E27FC236}">
                  <a16:creationId xmlns:a16="http://schemas.microsoft.com/office/drawing/2014/main" id="{BE981724-8D10-4B91-8ED9-A6D10954B15F}"/>
                </a:ext>
              </a:extLst>
            </xdr:cNvPr>
            <xdr:cNvGraphicFramePr/>
          </xdr:nvGraphicFramePr>
          <xdr:xfrm>
            <a:off x="0" y="0"/>
            <a:ext cx="0" cy="0"/>
          </xdr:xfrm>
          <a:graphic>
            <a:graphicData uri="http://schemas.microsoft.com/office/drawing/2010/slicer">
              <sle:slicer xmlns:sle="http://schemas.microsoft.com/office/drawing/2010/slicer" name="Months (Tanggal Pinjaman)"/>
            </a:graphicData>
          </a:graphic>
        </xdr:graphicFrame>
      </mc:Choice>
      <mc:Fallback xmlns="">
        <xdr:sp macro="" textlink="">
          <xdr:nvSpPr>
            <xdr:cNvPr id="0" name=""/>
            <xdr:cNvSpPr>
              <a:spLocks noTextEdit="1"/>
            </xdr:cNvSpPr>
          </xdr:nvSpPr>
          <xdr:spPr>
            <a:xfrm>
              <a:off x="2823484" y="693966"/>
              <a:ext cx="7558766" cy="6939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11</xdr:col>
          <xdr:colOff>204107</xdr:colOff>
          <xdr:row>23</xdr:row>
          <xdr:rowOff>231568</xdr:rowOff>
        </xdr:from>
        <xdr:to>
          <xdr:col>14</xdr:col>
          <xdr:colOff>635010</xdr:colOff>
          <xdr:row>34</xdr:row>
          <xdr:rowOff>176892</xdr:rowOff>
        </xdr:to>
        <xdr:pic>
          <xdr:nvPicPr>
            <xdr:cNvPr id="35" name="Picture 34">
              <a:extLst>
                <a:ext uri="{FF2B5EF4-FFF2-40B4-BE49-F238E27FC236}">
                  <a16:creationId xmlns:a16="http://schemas.microsoft.com/office/drawing/2014/main" id="{9D38A800-1FD7-8B9D-B83A-64D13A702406}"/>
                </a:ext>
              </a:extLst>
            </xdr:cNvPr>
            <xdr:cNvPicPr>
              <a:picLocks noChangeAspect="1" noChangeArrowheads="1"/>
              <a:extLst>
                <a:ext uri="{84589F7E-364E-4C9E-8A38-B11213B215E9}">
                  <a14:cameraTool cellRange="Input!$E$25:$F$31" spid="_x0000_s1068"/>
                </a:ext>
              </a:extLst>
            </xdr:cNvPicPr>
          </xdr:nvPicPr>
          <xdr:blipFill>
            <a:blip xmlns:r="http://schemas.openxmlformats.org/officeDocument/2006/relationships" r:embed="rId6"/>
            <a:srcRect/>
            <a:stretch>
              <a:fillRect/>
            </a:stretch>
          </xdr:blipFill>
          <xdr:spPr bwMode="auto">
            <a:xfrm>
              <a:off x="10926536" y="5483925"/>
              <a:ext cx="3043474" cy="2176896"/>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editAs="oneCell">
    <xdr:from>
      <xdr:col>10</xdr:col>
      <xdr:colOff>658091</xdr:colOff>
      <xdr:row>2</xdr:row>
      <xdr:rowOff>13606</xdr:rowOff>
    </xdr:from>
    <xdr:to>
      <xdr:col>14</xdr:col>
      <xdr:colOff>623455</xdr:colOff>
      <xdr:row>5</xdr:row>
      <xdr:rowOff>79375</xdr:rowOff>
    </xdr:to>
    <mc:AlternateContent xmlns:mc="http://schemas.openxmlformats.org/markup-compatibility/2006" xmlns:a14="http://schemas.microsoft.com/office/drawing/2010/main">
      <mc:Choice Requires="a14">
        <xdr:graphicFrame macro="">
          <xdr:nvGraphicFramePr>
            <xdr:cNvPr id="36" name="Years (Tanggal Pinjaman)">
              <a:extLst>
                <a:ext uri="{FF2B5EF4-FFF2-40B4-BE49-F238E27FC236}">
                  <a16:creationId xmlns:a16="http://schemas.microsoft.com/office/drawing/2014/main" id="{B81063F6-C828-49A8-9CD9-B711BF0DD63B}"/>
                </a:ext>
              </a:extLst>
            </xdr:cNvPr>
            <xdr:cNvGraphicFramePr/>
          </xdr:nvGraphicFramePr>
          <xdr:xfrm>
            <a:off x="0" y="0"/>
            <a:ext cx="0" cy="0"/>
          </xdr:xfrm>
          <a:graphic>
            <a:graphicData uri="http://schemas.microsoft.com/office/drawing/2010/slicer">
              <sle:slicer xmlns:sle="http://schemas.microsoft.com/office/drawing/2010/slicer" name="Years (Tanggal Pinjaman)"/>
            </a:graphicData>
          </a:graphic>
        </xdr:graphicFrame>
      </mc:Choice>
      <mc:Fallback xmlns="">
        <xdr:sp macro="" textlink="">
          <xdr:nvSpPr>
            <xdr:cNvPr id="0" name=""/>
            <xdr:cNvSpPr>
              <a:spLocks noTextEdit="1"/>
            </xdr:cNvSpPr>
          </xdr:nvSpPr>
          <xdr:spPr>
            <a:xfrm>
              <a:off x="10509662" y="693964"/>
              <a:ext cx="3448793" cy="7162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728808</xdr:colOff>
      <xdr:row>23</xdr:row>
      <xdr:rowOff>6804</xdr:rowOff>
    </xdr:from>
    <xdr:to>
      <xdr:col>11</xdr:col>
      <xdr:colOff>59003</xdr:colOff>
      <xdr:row>36</xdr:row>
      <xdr:rowOff>64750</xdr:rowOff>
    </xdr:to>
    <xdr:graphicFrame macro="">
      <xdr:nvGraphicFramePr>
        <xdr:cNvPr id="9" name="Chart 8">
          <a:extLst>
            <a:ext uri="{FF2B5EF4-FFF2-40B4-BE49-F238E27FC236}">
              <a16:creationId xmlns:a16="http://schemas.microsoft.com/office/drawing/2014/main" id="{7B001954-164E-4E20-86FA-D244F3E61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485774</xdr:colOff>
      <xdr:row>0</xdr:row>
      <xdr:rowOff>28575</xdr:rowOff>
    </xdr:from>
    <xdr:to>
      <xdr:col>14</xdr:col>
      <xdr:colOff>438149</xdr:colOff>
      <xdr:row>4</xdr:row>
      <xdr:rowOff>9525</xdr:rowOff>
    </xdr:to>
    <xdr:sp macro="" textlink="">
      <xdr:nvSpPr>
        <xdr:cNvPr id="4" name="Rectangle: Rounded Corners 3">
          <a:extLst>
            <a:ext uri="{FF2B5EF4-FFF2-40B4-BE49-F238E27FC236}">
              <a16:creationId xmlns:a16="http://schemas.microsoft.com/office/drawing/2014/main" id="{025A33DB-654C-C4E9-49C1-68915BFE5049}"/>
            </a:ext>
          </a:extLst>
        </xdr:cNvPr>
        <xdr:cNvSpPr/>
      </xdr:nvSpPr>
      <xdr:spPr>
        <a:xfrm>
          <a:off x="7096124" y="28575"/>
          <a:ext cx="2581275" cy="742950"/>
        </a:xfrm>
        <a:prstGeom prst="round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D" sz="1050" b="1">
              <a:solidFill>
                <a:schemeClr val="accent1">
                  <a:lumMod val="75000"/>
                </a:schemeClr>
              </a:solidFill>
            </a:rPr>
            <a:t>Note: Pivot table used to calculate monthly employee loan deductions from salary.</a:t>
          </a:r>
        </a:p>
      </xdr:txBody>
    </xdr:sp>
    <xdr:clientData/>
  </xdr:twoCellAnchor>
  <xdr:twoCellAnchor editAs="oneCell">
    <xdr:from>
      <xdr:col>3</xdr:col>
      <xdr:colOff>523873</xdr:colOff>
      <xdr:row>0</xdr:row>
      <xdr:rowOff>0</xdr:rowOff>
    </xdr:from>
    <xdr:to>
      <xdr:col>10</xdr:col>
      <xdr:colOff>319279</xdr:colOff>
      <xdr:row>4</xdr:row>
      <xdr:rowOff>28574</xdr:rowOff>
    </xdr:to>
    <mc:AlternateContent xmlns:mc="http://schemas.openxmlformats.org/markup-compatibility/2006" xmlns:a14="http://schemas.microsoft.com/office/drawing/2010/main">
      <mc:Choice Requires="a14">
        <xdr:graphicFrame macro="">
          <xdr:nvGraphicFramePr>
            <xdr:cNvPr id="21" name="Slicer">
              <a:extLst>
                <a:ext uri="{FF2B5EF4-FFF2-40B4-BE49-F238E27FC236}">
                  <a16:creationId xmlns:a16="http://schemas.microsoft.com/office/drawing/2014/main" id="{12807B61-0F58-EF6B-99A1-A75FA6E4C5B5}"/>
                </a:ext>
              </a:extLst>
            </xdr:cNvPr>
            <xdr:cNvGraphicFramePr/>
          </xdr:nvGraphicFramePr>
          <xdr:xfrm>
            <a:off x="0" y="0"/>
            <a:ext cx="0" cy="0"/>
          </xdr:xfrm>
          <a:graphic>
            <a:graphicData uri="http://schemas.microsoft.com/office/drawing/2010/slicer">
              <sle:slicer xmlns:sle="http://schemas.microsoft.com/office/drawing/2010/slicer" name="Slicer"/>
            </a:graphicData>
          </a:graphic>
        </xdr:graphicFrame>
      </mc:Choice>
      <mc:Fallback xmlns="">
        <xdr:sp macro="" textlink="">
          <xdr:nvSpPr>
            <xdr:cNvPr id="0" name=""/>
            <xdr:cNvSpPr>
              <a:spLocks noTextEdit="1"/>
            </xdr:cNvSpPr>
          </xdr:nvSpPr>
          <xdr:spPr>
            <a:xfrm>
              <a:off x="2171698" y="0"/>
              <a:ext cx="4888106" cy="7905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0</xdr:row>
      <xdr:rowOff>38100</xdr:rowOff>
    </xdr:from>
    <xdr:to>
      <xdr:col>3</xdr:col>
      <xdr:colOff>438149</xdr:colOff>
      <xdr:row>3</xdr:row>
      <xdr:rowOff>9525</xdr:rowOff>
    </xdr:to>
    <mc:AlternateContent xmlns:mc="http://schemas.openxmlformats.org/markup-compatibility/2006" xmlns:a14="http://schemas.microsoft.com/office/drawing/2010/main">
      <mc:Choice Requires="a14">
        <xdr:graphicFrame macro="">
          <xdr:nvGraphicFramePr>
            <xdr:cNvPr id="2" name="Status 2">
              <a:extLst>
                <a:ext uri="{FF2B5EF4-FFF2-40B4-BE49-F238E27FC236}">
                  <a16:creationId xmlns:a16="http://schemas.microsoft.com/office/drawing/2014/main" id="{0B3B7395-B550-70D8-8897-F8D356EF5B65}"/>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52399" y="38100"/>
              <a:ext cx="1933575" cy="5429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13</xdr:col>
      <xdr:colOff>328707</xdr:colOff>
      <xdr:row>3</xdr:row>
      <xdr:rowOff>145676</xdr:rowOff>
    </xdr:from>
    <xdr:to>
      <xdr:col>16</xdr:col>
      <xdr:colOff>687295</xdr:colOff>
      <xdr:row>15</xdr:row>
      <xdr:rowOff>121585</xdr:rowOff>
    </xdr:to>
    <mc:AlternateContent xmlns:mc="http://schemas.openxmlformats.org/markup-compatibility/2006" xmlns:sle15="http://schemas.microsoft.com/office/drawing/2012/slicer">
      <mc:Choice Requires="sle15">
        <xdr:graphicFrame macro="">
          <xdr:nvGraphicFramePr>
            <xdr:cNvPr id="46" name="Periode Bulan">
              <a:extLst>
                <a:ext uri="{FF2B5EF4-FFF2-40B4-BE49-F238E27FC236}">
                  <a16:creationId xmlns:a16="http://schemas.microsoft.com/office/drawing/2014/main" id="{2FEE6ECE-74EB-20EC-A185-19DEC250F37F}"/>
                </a:ext>
              </a:extLst>
            </xdr:cNvPr>
            <xdr:cNvGraphicFramePr/>
          </xdr:nvGraphicFramePr>
          <xdr:xfrm>
            <a:off x="0" y="0"/>
            <a:ext cx="0" cy="0"/>
          </xdr:xfrm>
          <a:graphic>
            <a:graphicData uri="http://schemas.microsoft.com/office/drawing/2010/slicer">
              <sle:slicer xmlns:sle="http://schemas.microsoft.com/office/drawing/2010/slicer" name="Periode Bulan"/>
            </a:graphicData>
          </a:graphic>
        </xdr:graphicFrame>
      </mc:Choice>
      <mc:Fallback xmlns="">
        <xdr:sp macro="" textlink="">
          <xdr:nvSpPr>
            <xdr:cNvPr id="0" name=""/>
            <xdr:cNvSpPr>
              <a:spLocks noTextEdit="1"/>
            </xdr:cNvSpPr>
          </xdr:nvSpPr>
          <xdr:spPr>
            <a:xfrm>
              <a:off x="10548472" y="1008529"/>
              <a:ext cx="1882588" cy="2261909"/>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135963</xdr:colOff>
      <xdr:row>0</xdr:row>
      <xdr:rowOff>268940</xdr:rowOff>
    </xdr:from>
    <xdr:to>
      <xdr:col>15</xdr:col>
      <xdr:colOff>11205</xdr:colOff>
      <xdr:row>3</xdr:row>
      <xdr:rowOff>78440</xdr:rowOff>
    </xdr:to>
    <mc:AlternateContent xmlns:mc="http://schemas.openxmlformats.org/markup-compatibility/2006" xmlns:sle15="http://schemas.microsoft.com/office/drawing/2012/slicer">
      <mc:Choice Requires="sle15">
        <xdr:graphicFrame macro="">
          <xdr:nvGraphicFramePr>
            <xdr:cNvPr id="47" name="Status">
              <a:extLst>
                <a:ext uri="{FF2B5EF4-FFF2-40B4-BE49-F238E27FC236}">
                  <a16:creationId xmlns:a16="http://schemas.microsoft.com/office/drawing/2014/main" id="{32E22480-DDE3-DBCE-9592-79D0D5B517E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355728" y="268940"/>
              <a:ext cx="794124" cy="672353"/>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472140</xdr:colOff>
      <xdr:row>0</xdr:row>
      <xdr:rowOff>242607</xdr:rowOff>
    </xdr:from>
    <xdr:to>
      <xdr:col>17</xdr:col>
      <xdr:colOff>1266264</xdr:colOff>
      <xdr:row>2</xdr:row>
      <xdr:rowOff>78442</xdr:rowOff>
    </xdr:to>
    <mc:AlternateContent xmlns:mc="http://schemas.openxmlformats.org/markup-compatibility/2006" xmlns:sle15="http://schemas.microsoft.com/office/drawing/2012/slicer">
      <mc:Choice Requires="sle15">
        <xdr:graphicFrame macro="">
          <xdr:nvGraphicFramePr>
            <xdr:cNvPr id="48" name="Cabang 1">
              <a:extLst>
                <a:ext uri="{FF2B5EF4-FFF2-40B4-BE49-F238E27FC236}">
                  <a16:creationId xmlns:a16="http://schemas.microsoft.com/office/drawing/2014/main" id="{E717A8D1-0C81-C670-4F36-F6A7EE8DA14F}"/>
                </a:ext>
              </a:extLst>
            </xdr:cNvPr>
            <xdr:cNvGraphicFramePr/>
          </xdr:nvGraphicFramePr>
          <xdr:xfrm>
            <a:off x="0" y="0"/>
            <a:ext cx="0" cy="0"/>
          </xdr:xfrm>
          <a:graphic>
            <a:graphicData uri="http://schemas.microsoft.com/office/drawing/2010/slicer">
              <sle:slicer xmlns:sle="http://schemas.microsoft.com/office/drawing/2010/slicer" name="Cabang 1"/>
            </a:graphicData>
          </a:graphic>
        </xdr:graphicFrame>
      </mc:Choice>
      <mc:Fallback xmlns="">
        <xdr:sp macro="" textlink="">
          <xdr:nvSpPr>
            <xdr:cNvPr id="0" name=""/>
            <xdr:cNvSpPr>
              <a:spLocks noTextEdit="1"/>
            </xdr:cNvSpPr>
          </xdr:nvSpPr>
          <xdr:spPr>
            <a:xfrm>
              <a:off x="11106522" y="242607"/>
              <a:ext cx="2799977" cy="575423"/>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10</xdr:col>
      <xdr:colOff>466163</xdr:colOff>
      <xdr:row>0</xdr:row>
      <xdr:rowOff>0</xdr:rowOff>
    </xdr:from>
    <xdr:to>
      <xdr:col>18</xdr:col>
      <xdr:colOff>352425</xdr:colOff>
      <xdr:row>3</xdr:row>
      <xdr:rowOff>76200</xdr:rowOff>
    </xdr:to>
    <mc:AlternateContent xmlns:mc="http://schemas.openxmlformats.org/markup-compatibility/2006" xmlns:sle15="http://schemas.microsoft.com/office/drawing/2012/slicer">
      <mc:Choice Requires="sle15">
        <xdr:graphicFrame macro="">
          <xdr:nvGraphicFramePr>
            <xdr:cNvPr id="41" name="Periode Gaji">
              <a:extLst>
                <a:ext uri="{FF2B5EF4-FFF2-40B4-BE49-F238E27FC236}">
                  <a16:creationId xmlns:a16="http://schemas.microsoft.com/office/drawing/2014/main" id="{781A1398-8678-3A45-6EA0-D04D41D3CCA5}"/>
                </a:ext>
              </a:extLst>
            </xdr:cNvPr>
            <xdr:cNvGraphicFramePr/>
          </xdr:nvGraphicFramePr>
          <xdr:xfrm>
            <a:off x="0" y="0"/>
            <a:ext cx="0" cy="0"/>
          </xdr:xfrm>
          <a:graphic>
            <a:graphicData uri="http://schemas.microsoft.com/office/drawing/2010/slicer">
              <sle:slicer xmlns:sle="http://schemas.microsoft.com/office/drawing/2010/slicer" name="Periode Gaji"/>
            </a:graphicData>
          </a:graphic>
        </xdr:graphicFrame>
      </mc:Choice>
      <mc:Fallback xmlns="">
        <xdr:sp macro="" textlink="">
          <xdr:nvSpPr>
            <xdr:cNvPr id="0" name=""/>
            <xdr:cNvSpPr>
              <a:spLocks noTextEdit="1"/>
            </xdr:cNvSpPr>
          </xdr:nvSpPr>
          <xdr:spPr>
            <a:xfrm>
              <a:off x="6905063" y="0"/>
              <a:ext cx="4848787" cy="70485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381000</xdr:colOff>
      <xdr:row>0</xdr:row>
      <xdr:rowOff>0</xdr:rowOff>
    </xdr:from>
    <xdr:to>
      <xdr:col>10</xdr:col>
      <xdr:colOff>552450</xdr:colOff>
      <xdr:row>3</xdr:row>
      <xdr:rowOff>152400</xdr:rowOff>
    </xdr:to>
    <mc:AlternateContent xmlns:mc="http://schemas.openxmlformats.org/markup-compatibility/2006" xmlns:sle15="http://schemas.microsoft.com/office/drawing/2012/slicer">
      <mc:Choice Requires="sle15">
        <xdr:graphicFrame macro="">
          <xdr:nvGraphicFramePr>
            <xdr:cNvPr id="2" name="Status 1">
              <a:extLst>
                <a:ext uri="{FF2B5EF4-FFF2-40B4-BE49-F238E27FC236}">
                  <a16:creationId xmlns:a16="http://schemas.microsoft.com/office/drawing/2014/main" id="{2936E297-4C99-2F62-0124-A011F771A96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6315075" y="0"/>
              <a:ext cx="676275" cy="78105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8.93007534722" backgroundQuery="1" createdVersion="8" refreshedVersion="8" minRefreshableVersion="3" recordCount="83" xr:uid="{27FF1D21-08B3-4F34-B730-D6C457221743}">
  <cacheSource type="external" connectionId="1"/>
  <cacheFields count="15">
    <cacheField name="ID" numFmtId="0">
      <sharedItems/>
    </cacheField>
    <cacheField name="Nama" numFmtId="0">
      <sharedItems count="44">
        <s v="HAMAT"/>
        <s v="HAE"/>
        <s v="NOPI"/>
        <s v="JANA"/>
        <s v="ANA "/>
        <s v="NATAN "/>
        <s v="GORDON"/>
        <s v="LAFU"/>
        <s v="KASIH"/>
        <s v="ISHAQ"/>
        <s v="AMANAH"/>
        <s v="MUJIONO"/>
        <s v="ANTI HAE"/>
        <s v="JAWANA "/>
        <s v="LANIA"/>
        <s v="ANSYAH"/>
        <s v="PUTRAKU"/>
        <s v="WAHONO"/>
        <s v="ARAHAN"/>
        <s v="RIVAL"/>
        <s v="DAWANA"/>
        <s v=" TOBI"/>
        <s v="SETIA"/>
        <s v="RATANA"/>
        <s v="UMBUBA"/>
        <s v="HERRY"/>
        <s v="SOLEH"/>
        <s v="ALVI"/>
        <s v="LARA"/>
        <s v="GHANA"/>
        <s v="NALDI"/>
        <s v="RONI"/>
        <s v="OMAR"/>
        <s v="WAWAN"/>
        <s v="TIARA"/>
        <s v="SATRIO"/>
        <s v="BABPUIR"/>
        <s v="ANDIKA"/>
        <s v="ALIBA"/>
        <s v="BERKAH"/>
        <s v="DEDEN"/>
        <s v="TRI YANTO"/>
        <s v="YANTONO"/>
        <s v="SUKIMAN"/>
      </sharedItems>
    </cacheField>
    <cacheField name="Tanggal Pinjaman" numFmtId="0">
      <sharedItems containsSemiMixedTypes="0" containsNonDate="0" containsDate="1" containsString="0" minDate="2023-10-04T00:00:00" maxDate="2025-12-03T00:00:00" count="61">
        <d v="2025-01-03T00:00:00"/>
        <d v="2025-02-13T00:00:00"/>
        <d v="2025-01-31T00:00:00"/>
        <d v="2025-04-25T00:00:00"/>
        <d v="2025-02-04T00:00:00"/>
        <d v="2025-02-14T00:00:00"/>
        <d v="2024-12-14T00:00:00"/>
        <d v="2025-05-07T00:00:00"/>
        <d v="2024-12-27T00:00:00"/>
        <d v="2024-10-25T00:00:00"/>
        <d v="2024-12-19T00:00:00"/>
        <d v="2025-07-05T00:00:00"/>
        <d v="2025-08-25T00:00:00"/>
        <d v="2025-03-07T00:00:00"/>
        <d v="2025-03-15T00:00:00"/>
        <d v="2025-05-09T00:00:00"/>
        <d v="2025-02-28T00:00:00"/>
        <d v="2025-04-06T00:00:00"/>
        <d v="2025-08-01T00:00:00"/>
        <d v="2025-04-21T00:00:00"/>
        <d v="2025-05-11T00:00:00"/>
        <d v="2025-05-20T00:00:00"/>
        <d v="2025-05-16T00:00:00"/>
        <d v="2025-05-30T00:00:00"/>
        <d v="2025-06-03T00:00:00"/>
        <d v="2025-06-04T00:00:00"/>
        <d v="2025-06-19T00:00:00"/>
        <d v="2025-06-20T00:00:00"/>
        <d v="2025-06-23T00:00:00"/>
        <d v="2025-07-01T00:00:00"/>
        <d v="2025-07-11T00:00:00"/>
        <d v="2025-08-11T00:00:00"/>
        <d v="2025-08-14T00:00:00"/>
        <d v="2025-09-01T00:00:00"/>
        <d v="2024-09-20T00:00:00"/>
        <d v="2025-03-04T00:00:00"/>
        <d v="2025-09-02T00:00:00"/>
        <d v="2023-10-04T00:00:00"/>
        <d v="2024-11-25T00:00:00"/>
        <d v="2025-03-12T00:00:00"/>
        <d v="2025-04-09T00:00:00"/>
        <d v="2025-01-06T00:00:00"/>
        <d v="2025-09-04T00:00:00"/>
        <d v="2025-09-10T00:00:00"/>
        <d v="2025-09-12T00:00:00"/>
        <d v="2025-09-19T00:00:00"/>
        <d v="2025-09-20T00:00:00"/>
        <d v="2025-09-24T00:00:00"/>
        <d v="2025-09-26T00:00:00"/>
        <d v="2025-10-06T00:00:00"/>
        <d v="2025-10-20T00:00:00"/>
        <d v="2025-11-03T00:00:00"/>
        <d v="2025-12-02T00:00:00"/>
        <d v="2024-11-23T00:00:00"/>
        <d v="2025-08-26T00:00:00"/>
        <d v="2025-10-01T00:00:00"/>
        <d v="2025-10-21T00:00:00"/>
        <d v="2025-10-23T00:00:00"/>
        <d v="2025-10-28T00:00:00"/>
        <d v="2025-10-29T00:00:00"/>
        <d v="2025-11-18T00:00:00"/>
      </sharedItems>
      <fieldGroup par="14"/>
    </cacheField>
    <cacheField name="Slicer" numFmtId="0">
      <sharedItems containsSemiMixedTypes="0" containsNonDate="0" containsDate="1" containsString="0" minDate="2023-10-01T00:00:00" maxDate="2025-12-02T00:00:00" count="17">
        <d v="2025-01-01T00:00:00"/>
        <d v="2025-02-01T00:00:00"/>
        <d v="2025-04-01T00:00:00"/>
        <d v="2024-12-01T00:00:00"/>
        <d v="2025-05-01T00:00:00"/>
        <d v="2024-10-01T00:00:00"/>
        <d v="2025-07-01T00:00:00"/>
        <d v="2025-08-01T00:00:00"/>
        <d v="2025-03-01T00:00:00"/>
        <d v="2025-06-01T00:00:00"/>
        <d v="2025-09-01T00:00:00"/>
        <d v="2024-09-01T00:00:00"/>
        <d v="2023-10-01T00:00:00"/>
        <d v="2024-11-01T00:00:00"/>
        <d v="2025-10-01T00:00:00"/>
        <d v="2025-11-01T00:00:00"/>
        <d v="2025-12-01T00:00:00"/>
      </sharedItems>
    </cacheField>
    <cacheField name="Jumlah Pinjaman" numFmtId="0">
      <sharedItems containsSemiMixedTypes="0" containsString="0" containsNumber="1" containsInteger="1" minValue="500000" maxValue="15000000" count="18">
        <n v="3000000"/>
        <n v="3566100"/>
        <n v="1500000"/>
        <n v="1000000"/>
        <n v="875000"/>
        <n v="2000000"/>
        <n v="4000000"/>
        <n v="1334000"/>
        <n v="500000"/>
        <n v="2500000"/>
        <n v="5000000"/>
        <n v="2605000"/>
        <n v="846284"/>
        <n v="700000"/>
        <n v="3500000"/>
        <n v="1670246"/>
        <n v="15000000"/>
        <n v="11000000"/>
      </sharedItems>
    </cacheField>
    <cacheField name="Paid Off" numFmtId="0">
      <sharedItems containsSemiMixedTypes="0" containsString="0" containsNumber="1" containsInteger="1" minValue="0" maxValue="15000000" count="20">
        <n v="3000000"/>
        <n v="3566100"/>
        <n v="1500000"/>
        <n v="1000000"/>
        <n v="875000"/>
        <n v="2000000"/>
        <n v="4000000"/>
        <n v="1334000"/>
        <n v="500000"/>
        <n v="2500000"/>
        <n v="5000000"/>
        <n v="2605000"/>
        <n v="846284"/>
        <n v="700000"/>
        <n v="3500000"/>
        <n v="1670246"/>
        <n v="15000000"/>
        <n v="9750000"/>
        <n v="750000"/>
        <n v="0"/>
      </sharedItems>
    </cacheField>
    <cacheField name="Status" numFmtId="0">
      <sharedItems count="2">
        <s v="Lunas"/>
        <s v="Belum Lunas"/>
      </sharedItems>
    </cacheField>
    <cacheField name="Remaining" numFmtId="0">
      <sharedItems containsSemiMixedTypes="0" containsString="0" containsNumber="1" containsInteger="1" minValue="0" maxValue="3500000" count="9">
        <n v="0"/>
        <n v="1250000"/>
        <n v="1000000"/>
        <n v="3500000"/>
        <n v="1500000"/>
        <n v="2000000"/>
        <n v="500000"/>
        <n v="2250000"/>
        <n v="3000000"/>
      </sharedItems>
    </cacheField>
    <cacheField name="Berapa kali" numFmtId="0">
      <sharedItems containsString="0" containsBlank="1" containsNumber="1" containsInteger="1" minValue="0" maxValue="14" count="12">
        <m/>
        <n v="1"/>
        <n v="8"/>
        <n v="2"/>
        <n v="4"/>
        <n v="3"/>
        <n v="0"/>
        <n v="7"/>
        <n v="14"/>
        <n v="5"/>
        <n v="10"/>
        <n v="6"/>
      </sharedItems>
    </cacheField>
    <cacheField name="Cicilan per Bulan" numFmtId="0">
      <sharedItems containsString="0" containsBlank="1" containsNumber="1" containsInteger="1" minValue="100000" maxValue="5000000" count="11">
        <n v="750000"/>
        <n v="500000"/>
        <n v="100000"/>
        <m/>
        <n v="1500000"/>
        <n v="1000000"/>
        <n v="2000000"/>
        <n v="3000000"/>
        <n v="700000"/>
        <n v="2500000"/>
        <n v="5000000"/>
      </sharedItems>
    </cacheField>
    <cacheField name="TF" numFmtId="0">
      <sharedItems count="4">
        <s v="Bank A"/>
        <s v="Bank B"/>
        <s v="Bank C"/>
        <s v="Bank D"/>
      </sharedItems>
    </cacheField>
    <cacheField name="Cabang" numFmtId="0">
      <sharedItems count="8">
        <s v="Payroll_SMB"/>
        <s v="RO_SMB"/>
        <s v="RO_SSL"/>
        <s v="PPA"/>
        <s v="SSL"/>
        <s v="SAP"/>
        <s v="HO"/>
        <s v="SIPIL"/>
      </sharedItems>
    </cacheField>
    <cacheField name="Months (Tanggal Pinjaman)" numFmtId="0" databaseField="0">
      <fieldGroup base="2">
        <rangePr groupBy="months" startDate="2023-10-04T00:00:00" endDate="2025-12-03T00:00:00"/>
        <groupItems count="14">
          <s v="&lt;04/10/2023"/>
          <s v="Jan"/>
          <s v="Feb"/>
          <s v="Mar"/>
          <s v="Apr"/>
          <s v="May"/>
          <s v="Jun"/>
          <s v="Jul"/>
          <s v="Aug"/>
          <s v="Sep"/>
          <s v="Oct"/>
          <s v="Nov"/>
          <s v="Dec"/>
          <s v="&gt;03/12/2025"/>
        </groupItems>
      </fieldGroup>
    </cacheField>
    <cacheField name="Quarters (Tanggal Pinjaman)" numFmtId="0" databaseField="0">
      <fieldGroup base="2">
        <rangePr groupBy="quarters" startDate="2023-10-04T00:00:00" endDate="2025-12-03T00:00:00"/>
        <groupItems count="6">
          <s v="&lt;04/10/2023"/>
          <s v="Qtr1"/>
          <s v="Qtr2"/>
          <s v="Qtr3"/>
          <s v="Qtr4"/>
          <s v="&gt;03/12/2025"/>
        </groupItems>
      </fieldGroup>
    </cacheField>
    <cacheField name="Years (Tanggal Pinjaman)" numFmtId="0" databaseField="0">
      <fieldGroup base="2">
        <rangePr groupBy="years" startDate="2023-10-04T00:00:00" endDate="2025-12-03T00:00:00"/>
        <groupItems count="5">
          <s v="&lt;04/10/2023"/>
          <s v="2023"/>
          <s v="2024"/>
          <s v="2025"/>
          <s v="&gt;03/12/2025"/>
        </groupItems>
      </fieldGroup>
    </cacheField>
  </cacheFields>
  <extLst>
    <ext xmlns:x14="http://schemas.microsoft.com/office/spreadsheetml/2009/9/main" uri="{725AE2AE-9491-48be-B2B4-4EB974FC3084}">
      <x14:pivotCacheDefinition pivotCacheId="2373937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09.643010300926" backgroundQuery="1" createdVersion="8" refreshedVersion="8" minRefreshableVersion="3" recordCount="0" supportSubquery="1" supportAdvancedDrill="1" xr:uid="{722F9A53-6E17-4FA2-94FF-E01FB539102B}">
  <cacheSource type="external" connectionId="2"/>
  <cacheFields count="10">
    <cacheField name="[Pinjaman].[Status].[Status]" caption="Status" numFmtId="0" hierarchy="17" level="1">
      <sharedItems containsSemiMixedTypes="0" containsNonDate="0" containsString="0"/>
    </cacheField>
    <cacheField name="[Pinjaman].[Nama].[Nama]" caption="Nama" numFmtId="0" hierarchy="12" level="1">
      <sharedItems count="44">
        <s v="BERKAH"/>
        <s v="GHANA"/>
        <s v="ANSYAH"/>
        <s v="HAMAT"/>
        <s v="ISHAQ"/>
        <s v="JAWANA"/>
        <s v="NATAN"/>
        <s v="NOPI"/>
        <s v="RIVAL"/>
        <s v="YANTONO"/>
        <s v="GORDON"/>
        <s v="PUTRAKU"/>
        <s v="SOLEH"/>
        <s v="ALVI"/>
        <s v="ARAHAN"/>
        <s v="HAE"/>
        <s v="LAFU"/>
        <s v="LARA"/>
        <s v="RATANA"/>
        <s v="UMBUBA"/>
        <s v="DEDEN"/>
        <s v="JANA"/>
        <s v="ANDIKA"/>
        <s v="HERRY"/>
        <s v="SETIA"/>
        <s v="ALIBA"/>
        <s v="BABPUIR"/>
        <s v="LANIA"/>
        <s v="SATRIO"/>
        <s v="SUKIMAN"/>
        <s v="TRI YANTO"/>
        <s v="NALDI" u="1"/>
        <s v="RONI" u="1"/>
        <s v="KASIH" u="1"/>
        <s v=" TOBI" u="1"/>
        <s v="AMANAH" u="1"/>
        <s v="ANA" u="1"/>
        <s v="ANTI HAE" u="1"/>
        <s v="DAWANA" u="1"/>
        <s v="MUJIONO" u="1"/>
        <s v="OMAR" u="1"/>
        <s v="TIARA" u="1"/>
        <s v="WAHONO" u="1"/>
        <s v="WAWAN" u="1"/>
      </sharedItems>
      <extLst>
        <ext xmlns:x15="http://schemas.microsoft.com/office/spreadsheetml/2010/11/main" uri="{4F2E5C28-24EA-4eb8-9CBF-B6C8F9C3D259}">
          <x15:cachedUniqueNames>
            <x15:cachedUniqueName index="0" name="[Pinjaman].[Nama].&amp;[BERKAH]"/>
            <x15:cachedUniqueName index="1" name="[Pinjaman].[Nama].&amp;[GHANA]"/>
            <x15:cachedUniqueName index="2" name="[Pinjaman].[Nama].&amp;[ANSYAH]"/>
            <x15:cachedUniqueName index="3" name="[Pinjaman].[Nama].&amp;[HAMAT]"/>
            <x15:cachedUniqueName index="4" name="[Pinjaman].[Nama].&amp;[ISHAQ]"/>
            <x15:cachedUniqueName index="5" name="[Pinjaman].[Nama].&amp;[JAWANA]"/>
            <x15:cachedUniqueName index="6" name="[Pinjaman].[Nama].&amp;[NATAN]"/>
            <x15:cachedUniqueName index="7" name="[Pinjaman].[Nama].&amp;[NOPI]"/>
            <x15:cachedUniqueName index="8" name="[Pinjaman].[Nama].&amp;[RIVAL]"/>
            <x15:cachedUniqueName index="9" name="[Pinjaman].[Nama].&amp;[YANTONO]"/>
            <x15:cachedUniqueName index="10" name="[Pinjaman].[Nama].&amp;[GORDON]"/>
            <x15:cachedUniqueName index="11" name="[Pinjaman].[Nama].&amp;[PUTRAKU]"/>
            <x15:cachedUniqueName index="12" name="[Pinjaman].[Nama].&amp;[SOLEH]"/>
            <x15:cachedUniqueName index="13" name="[Pinjaman].[Nama].&amp;[ALVI]"/>
            <x15:cachedUniqueName index="14" name="[Pinjaman].[Nama].&amp;[ARAHAN]"/>
            <x15:cachedUniqueName index="15" name="[Pinjaman].[Nama].&amp;[HAE]"/>
            <x15:cachedUniqueName index="16" name="[Pinjaman].[Nama].&amp;[LAFU]"/>
            <x15:cachedUniqueName index="17" name="[Pinjaman].[Nama].&amp;[LARA]"/>
            <x15:cachedUniqueName index="18" name="[Pinjaman].[Nama].&amp;[RATANA]"/>
            <x15:cachedUniqueName index="19" name="[Pinjaman].[Nama].&amp;[UMBUBA]"/>
            <x15:cachedUniqueName index="20" name="[Pinjaman].[Nama].&amp;[DEDEN]"/>
            <x15:cachedUniqueName index="21" name="[Pinjaman].[Nama].&amp;[JANA]"/>
            <x15:cachedUniqueName index="22" name="[Pinjaman].[Nama].&amp;[ANDIKA]"/>
            <x15:cachedUniqueName index="23" name="[Pinjaman].[Nama].&amp;[HERRY]"/>
            <x15:cachedUniqueName index="24" name="[Pinjaman].[Nama].&amp;[SETIA]"/>
            <x15:cachedUniqueName index="25" name="[Pinjaman].[Nama].&amp;[ALIBA]"/>
            <x15:cachedUniqueName index="26" name="[Pinjaman].[Nama].&amp;[BABPUIR]"/>
            <x15:cachedUniqueName index="27" name="[Pinjaman].[Nama].&amp;[LANIA]"/>
            <x15:cachedUniqueName index="28" name="[Pinjaman].[Nama].&amp;[SATRIO]"/>
            <x15:cachedUniqueName index="29" name="[Pinjaman].[Nama].&amp;[SUKIMAN]"/>
            <x15:cachedUniqueName index="30" name="[Pinjaman].[Nama].&amp;[TRI YANTO]"/>
            <x15:cachedUniqueName index="31" name="[Pinjaman].[Nama].&amp;[NALDI]"/>
            <x15:cachedUniqueName index="32" name="[Pinjaman].[Nama].&amp;[RONI]"/>
            <x15:cachedUniqueName index="33" name="[Pinjaman].[Nama].&amp;[KASIH]"/>
            <x15:cachedUniqueName index="34" name="[Pinjaman].[Nama].&amp;[ TOBI]"/>
            <x15:cachedUniqueName index="35" name="[Pinjaman].[Nama].&amp;[AMANAH]"/>
            <x15:cachedUniqueName index="36" name="[Pinjaman].[Nama].&amp;[ANA]"/>
            <x15:cachedUniqueName index="37" name="[Pinjaman].[Nama].&amp;[ANTI HAE]"/>
            <x15:cachedUniqueName index="38" name="[Pinjaman].[Nama].&amp;[DAWANA]"/>
            <x15:cachedUniqueName index="39" name="[Pinjaman].[Nama].&amp;[MUJIONO]"/>
            <x15:cachedUniqueName index="40" name="[Pinjaman].[Nama].&amp;[OMAR]"/>
            <x15:cachedUniqueName index="41" name="[Pinjaman].[Nama].&amp;[TIARA]"/>
            <x15:cachedUniqueName index="42" name="[Pinjaman].[Nama].&amp;[WAHONO]"/>
            <x15:cachedUniqueName index="43" name="[Pinjaman].[Nama].&amp;[WAWAN]"/>
          </x15:cachedUniqueNames>
        </ext>
      </extLst>
    </cacheField>
    <cacheField name="[Pinjaman].[Jumlah Pinjaman].[Jumlah Pinjaman]" caption="Jumlah Pinjaman" numFmtId="0" hierarchy="15" level="1">
      <sharedItems containsSemiMixedTypes="0" containsString="0" containsNumber="1" containsInteger="1" minValue="500000" maxValue="15000000" count="18">
        <n v="5000000"/>
        <n v="2000000"/>
        <n v="3566100"/>
        <n v="4000000"/>
        <n v="3000000"/>
        <n v="15000000"/>
        <n v="1000000"/>
        <n v="1500000"/>
        <n v="875000"/>
        <n v="500000"/>
        <n v="11000000"/>
        <n v="700000"/>
        <n v="2500000" u="1"/>
        <n v="1334000" u="1"/>
        <n v="2605000" u="1"/>
        <n v="3500000" u="1"/>
        <n v="1670246" u="1"/>
        <n v="846284" u="1"/>
      </sharedItems>
      <extLst>
        <ext xmlns:x15="http://schemas.microsoft.com/office/spreadsheetml/2010/11/main" uri="{4F2E5C28-24EA-4eb8-9CBF-B6C8F9C3D259}">
          <x15:cachedUniqueNames>
            <x15:cachedUniqueName index="0" name="[Pinjaman].[Jumlah Pinjaman].&amp;[5000000]"/>
            <x15:cachedUniqueName index="1" name="[Pinjaman].[Jumlah Pinjaman].&amp;[2000000]"/>
            <x15:cachedUniqueName index="2" name="[Pinjaman].[Jumlah Pinjaman].&amp;[3566100]"/>
            <x15:cachedUniqueName index="3" name="[Pinjaman].[Jumlah Pinjaman].&amp;[4000000]"/>
            <x15:cachedUniqueName index="4" name="[Pinjaman].[Jumlah Pinjaman].&amp;[3000000]"/>
            <x15:cachedUniqueName index="5" name="[Pinjaman].[Jumlah Pinjaman].&amp;[15000000]"/>
            <x15:cachedUniqueName index="6" name="[Pinjaman].[Jumlah Pinjaman].&amp;[1000000]"/>
            <x15:cachedUniqueName index="7" name="[Pinjaman].[Jumlah Pinjaman].&amp;[1500000]"/>
            <x15:cachedUniqueName index="8" name="[Pinjaman].[Jumlah Pinjaman].&amp;[875000]"/>
            <x15:cachedUniqueName index="9" name="[Pinjaman].[Jumlah Pinjaman].&amp;[500000]"/>
            <x15:cachedUniqueName index="10" name="[Pinjaman].[Jumlah Pinjaman].&amp;[11000000]"/>
            <x15:cachedUniqueName index="11" name="[Pinjaman].[Jumlah Pinjaman].&amp;[700000]"/>
            <x15:cachedUniqueName index="12" name="[Pinjaman].[Jumlah Pinjaman].&amp;[2500000]"/>
            <x15:cachedUniqueName index="13" name="[Pinjaman].[Jumlah Pinjaman].&amp;[1334000]"/>
            <x15:cachedUniqueName index="14" name="[Pinjaman].[Jumlah Pinjaman].&amp;[2605000]"/>
            <x15:cachedUniqueName index="15" name="[Pinjaman].[Jumlah Pinjaman].&amp;[3500000]"/>
            <x15:cachedUniqueName index="16" name="[Pinjaman].[Jumlah Pinjaman].&amp;[1670246]"/>
            <x15:cachedUniqueName index="17" name="[Pinjaman].[Jumlah Pinjaman].&amp;[846284]"/>
          </x15:cachedUniqueNames>
        </ext>
      </extLst>
    </cacheField>
    <cacheField name="[Measures].[Sum of Jumlah Cicilan]" caption="Sum of Jumlah Cicilan" numFmtId="0" hierarchy="35" level="32767"/>
    <cacheField name="[Pinjaman].[Tanggal Pinjaman (Month)].[Tanggal Pinjaman (Month)]" caption="Tanggal Pinjaman (Month)" numFmtId="0" hierarchy="25" level="1">
      <sharedItems containsSemiMixedTypes="0" containsNonDate="0" containsString="0"/>
    </cacheField>
    <cacheField name="[Pinjaman].[Cabang].[Cabang]" caption="Cabang" numFmtId="0" hierarchy="22" level="1">
      <sharedItems count="8">
        <s v="HO"/>
        <s v="Payroll_SMB"/>
        <s v="PPA"/>
        <s v="RO_SMB"/>
        <s v="RO_SSL"/>
        <s v="SAP"/>
        <s v="SIPIL"/>
        <s v="SSL"/>
      </sharedItems>
      <extLst>
        <ext xmlns:x15="http://schemas.microsoft.com/office/spreadsheetml/2010/11/main" uri="{4F2E5C28-24EA-4eb8-9CBF-B6C8F9C3D259}">
          <x15:cachedUniqueNames>
            <x15:cachedUniqueName index="0" name="[Pinjaman].[Cabang].&amp;[HO]"/>
            <x15:cachedUniqueName index="1" name="[Pinjaman].[Cabang].&amp;[Payroll_SMB]"/>
            <x15:cachedUniqueName index="2" name="[Pinjaman].[Cabang].&amp;[PPA]"/>
            <x15:cachedUniqueName index="3" name="[Pinjaman].[Cabang].&amp;[RO_SMB]"/>
            <x15:cachedUniqueName index="4" name="[Pinjaman].[Cabang].&amp;[RO_SSL]"/>
            <x15:cachedUniqueName index="5" name="[Pinjaman].[Cabang].&amp;[SAP]"/>
            <x15:cachedUniqueName index="6" name="[Pinjaman].[Cabang].&amp;[SIPIL]"/>
            <x15:cachedUniqueName index="7" name="[Pinjaman].[Cabang].&amp;[SSL]"/>
          </x15:cachedUniqueNames>
        </ext>
      </extLst>
    </cacheField>
    <cacheField name="[Cicilan].[Periode Gaji].[Periode Gaji]" caption="Periode Gaji" numFmtId="0" hierarchy="3" level="1">
      <sharedItems containsSemiMixedTypes="0" containsNonDate="0" containsDate="1" containsString="0" minDate="2024-11-01T00:00:00" maxDate="2025-12-02T00:00:00" count="14">
        <d v="2025-08-01T00:00:00"/>
        <d v="2025-09-01T00:00:00"/>
        <d v="2025-10-01T00:00:00"/>
        <d v="2025-11-01T00:00:00"/>
        <d v="2025-12-01T00:00:00"/>
        <d v="2024-11-01T00:00:00" u="1"/>
        <d v="2024-12-01T00:00:00" u="1"/>
        <d v="2025-01-01T00:00:00" u="1"/>
        <d v="2025-02-01T00:00:00" u="1"/>
        <d v="2025-03-01T00:00:00" u="1"/>
        <d v="2025-04-01T00:00:00" u="1"/>
        <d v="2025-05-01T00:00:00" u="1"/>
        <d v="2025-06-01T00:00:00" u="1"/>
        <d v="2025-07-01T00:00:00" u="1"/>
      </sharedItems>
      <extLst>
        <ext xmlns:x15="http://schemas.microsoft.com/office/spreadsheetml/2010/11/main" uri="{4F2E5C28-24EA-4eb8-9CBF-B6C8F9C3D259}">
          <x15:cachedUniqueNames>
            <x15:cachedUniqueName index="0" name="[Cicilan].[Periode Gaji].&amp;[2025-08-01T00:00:00]"/>
            <x15:cachedUniqueName index="1" name="[Cicilan].[Periode Gaji].&amp;[2025-09-01T00:00:00]"/>
            <x15:cachedUniqueName index="2" name="[Cicilan].[Periode Gaji].&amp;[2025-10-01T00:00:00]"/>
            <x15:cachedUniqueName index="3" name="[Cicilan].[Periode Gaji].&amp;[2025-11-01T00:00:00]"/>
            <x15:cachedUniqueName index="4" name="[Cicilan].[Periode Gaji].&amp;[2025-12-01T00:00:00]"/>
            <x15:cachedUniqueName index="5" name="[Cicilan].[Periode Gaji].&amp;[2024-11-01T00:00:00]"/>
            <x15:cachedUniqueName index="6" name="[Cicilan].[Periode Gaji].&amp;[2024-12-01T00:00:00]"/>
            <x15:cachedUniqueName index="7" name="[Cicilan].[Periode Gaji].&amp;[2025-01-01T00:00:00]"/>
            <x15:cachedUniqueName index="8" name="[Cicilan].[Periode Gaji].&amp;[2025-02-01T00:00:00]"/>
            <x15:cachedUniqueName index="9" name="[Cicilan].[Periode Gaji].&amp;[2025-03-01T00:00:00]"/>
            <x15:cachedUniqueName index="10" name="[Cicilan].[Periode Gaji].&amp;[2025-04-01T00:00:00]"/>
            <x15:cachedUniqueName index="11" name="[Cicilan].[Periode Gaji].&amp;[2025-05-01T00:00:00]"/>
            <x15:cachedUniqueName index="12" name="[Cicilan].[Periode Gaji].&amp;[2025-06-01T00:00:00]"/>
            <x15:cachedUniqueName index="13" name="[Cicilan].[Periode Gaji].&amp;[2025-07-01T00:00:00]"/>
          </x15:cachedUniqueNames>
        </ext>
      </extLst>
    </cacheField>
    <cacheField name="[Pinjaman].[Tanggal Pinjaman].[Tanggal Pinjaman]" caption="Tanggal Pinjaman" numFmtId="0" hierarchy="13" level="1">
      <sharedItems containsSemiMixedTypes="0" containsNonDate="0" containsDate="1" containsString="0" minDate="2023-10-04T00:00:00" maxDate="2025-12-03T00:00:00" count="61">
        <d v="2025-08-26T00:00:00"/>
        <d v="2025-08-14T00:00:00"/>
        <d v="2025-09-19T00:00:00"/>
        <d v="2025-02-13T00:00:00"/>
        <d v="2025-09-20T00:00:00"/>
        <d v="2025-05-07T00:00:00"/>
        <d v="2025-10-01T00:00:00"/>
        <d v="2025-11-18T00:00:00"/>
        <d v="2025-08-11T00:00:00"/>
        <d v="2025-11-03T00:00:00"/>
        <d v="2025-08-25T00:00:00"/>
        <d v="2025-10-28T00:00:00"/>
        <d v="2025-06-23T00:00:00"/>
        <d v="2025-10-20T00:00:00"/>
        <d v="2025-07-11T00:00:00"/>
        <d v="2025-09-24T00:00:00"/>
        <d v="2025-09-12T00:00:00"/>
        <d v="2025-09-10T00:00:00"/>
        <d v="2025-06-19T00:00:00"/>
        <d v="2025-10-29T00:00:00"/>
        <d v="2025-09-26T00:00:00"/>
        <d v="2025-02-14T00:00:00"/>
        <d v="2025-09-01T00:00:00"/>
        <d v="2025-10-06T00:00:00"/>
        <d v="2025-12-02T00:00:00"/>
        <d v="2025-09-02T00:00:00"/>
        <d v="2025-10-21T00:00:00"/>
        <d v="2024-11-23T00:00:00"/>
        <d v="2025-09-04T00:00:00"/>
        <d v="2025-10-23T00:00:00"/>
        <d v="2024-11-25T00:00:00" u="1"/>
        <d v="2024-09-20T00:00:00" u="1"/>
        <d v="2025-03-04T00:00:00" u="1"/>
        <d v="2023-10-04T00:00:00" u="1"/>
        <d v="2025-05-20T00:00:00" u="1"/>
        <d v="2025-01-03T00:00:00" u="1"/>
        <d v="2025-02-28T00:00:00" u="1"/>
        <d v="2025-04-06T00:00:00" u="1"/>
        <d v="2025-08-01T00:00:00" u="1"/>
        <d v="2025-03-15T00:00:00" u="1"/>
        <d v="2025-05-09T00:00:00" u="1"/>
        <d v="2024-12-27T00:00:00" u="1"/>
        <d v="2025-02-04T00:00:00" u="1"/>
        <d v="2025-06-03T00:00:00" u="1"/>
        <d v="2024-10-25T00:00:00" u="1"/>
        <d v="2024-12-19T00:00:00" u="1"/>
        <d v="2025-07-05T00:00:00" u="1"/>
        <d v="2025-05-16T00:00:00" u="1"/>
        <d v="2025-06-04T00:00:00" u="1"/>
        <d v="2025-04-21T00:00:00" u="1"/>
        <d v="2024-12-14T00:00:00" u="1"/>
        <d v="2025-05-30T00:00:00" u="1"/>
        <d v="2025-01-31T00:00:00" u="1"/>
        <d v="2025-04-25T00:00:00" u="1"/>
        <d v="2025-03-07T00:00:00" u="1"/>
        <d v="2025-06-20T00:00:00" u="1"/>
        <d v="2025-07-01T00:00:00" u="1"/>
        <d v="2025-05-11T00:00:00" u="1"/>
        <d v="2025-03-12T00:00:00" u="1"/>
        <d v="2025-01-06T00:00:00" u="1"/>
        <d v="2025-04-09T00:00:00" u="1"/>
      </sharedItems>
      <extLst>
        <ext xmlns:x15="http://schemas.microsoft.com/office/spreadsheetml/2010/11/main" uri="{4F2E5C28-24EA-4eb8-9CBF-B6C8F9C3D259}">
          <x15:cachedUniqueNames>
            <x15:cachedUniqueName index="0" name="[Pinjaman].[Tanggal Pinjaman].&amp;[2025-08-26T00:00:00]"/>
            <x15:cachedUniqueName index="1" name="[Pinjaman].[Tanggal Pinjaman].&amp;[2025-08-14T00:00:00]"/>
            <x15:cachedUniqueName index="2" name="[Pinjaman].[Tanggal Pinjaman].&amp;[2025-09-19T00:00:00]"/>
            <x15:cachedUniqueName index="3" name="[Pinjaman].[Tanggal Pinjaman].&amp;[2025-02-13T00:00:00]"/>
            <x15:cachedUniqueName index="4" name="[Pinjaman].[Tanggal Pinjaman].&amp;[2025-09-20T00:00:00]"/>
            <x15:cachedUniqueName index="5" name="[Pinjaman].[Tanggal Pinjaman].&amp;[2025-05-07T00:00:00]"/>
            <x15:cachedUniqueName index="6" name="[Pinjaman].[Tanggal Pinjaman].&amp;[2025-10-01T00:00:00]"/>
            <x15:cachedUniqueName index="7" name="[Pinjaman].[Tanggal Pinjaman].&amp;[2025-11-18T00:00:00]"/>
            <x15:cachedUniqueName index="8" name="[Pinjaman].[Tanggal Pinjaman].&amp;[2025-08-11T00:00:00]"/>
            <x15:cachedUniqueName index="9" name="[Pinjaman].[Tanggal Pinjaman].&amp;[2025-11-03T00:00:00]"/>
            <x15:cachedUniqueName index="10" name="[Pinjaman].[Tanggal Pinjaman].&amp;[2025-08-25T00:00:00]"/>
            <x15:cachedUniqueName index="11" name="[Pinjaman].[Tanggal Pinjaman].&amp;[2025-10-28T00:00:00]"/>
            <x15:cachedUniqueName index="12" name="[Pinjaman].[Tanggal Pinjaman].&amp;[2025-06-23T00:00:00]"/>
            <x15:cachedUniqueName index="13" name="[Pinjaman].[Tanggal Pinjaman].&amp;[2025-10-20T00:00:00]"/>
            <x15:cachedUniqueName index="14" name="[Pinjaman].[Tanggal Pinjaman].&amp;[2025-07-11T00:00:00]"/>
            <x15:cachedUniqueName index="15" name="[Pinjaman].[Tanggal Pinjaman].&amp;[2025-09-24T00:00:00]"/>
            <x15:cachedUniqueName index="16" name="[Pinjaman].[Tanggal Pinjaman].&amp;[2025-09-12T00:00:00]"/>
            <x15:cachedUniqueName index="17" name="[Pinjaman].[Tanggal Pinjaman].&amp;[2025-09-10T00:00:00]"/>
            <x15:cachedUniqueName index="18" name="[Pinjaman].[Tanggal Pinjaman].&amp;[2025-06-19T00:00:00]"/>
            <x15:cachedUniqueName index="19" name="[Pinjaman].[Tanggal Pinjaman].&amp;[2025-10-29T00:00:00]"/>
            <x15:cachedUniqueName index="20" name="[Pinjaman].[Tanggal Pinjaman].&amp;[2025-09-26T00:00:00]"/>
            <x15:cachedUniqueName index="21" name="[Pinjaman].[Tanggal Pinjaman].&amp;[2025-02-14T00:00:00]"/>
            <x15:cachedUniqueName index="22" name="[Pinjaman].[Tanggal Pinjaman].&amp;[2025-09-01T00:00:00]"/>
            <x15:cachedUniqueName index="23" name="[Pinjaman].[Tanggal Pinjaman].&amp;[2025-10-06T00:00:00]"/>
            <x15:cachedUniqueName index="24" name="[Pinjaman].[Tanggal Pinjaman].&amp;[2025-12-02T00:00:00]"/>
            <x15:cachedUniqueName index="25" name="[Pinjaman].[Tanggal Pinjaman].&amp;[2025-09-02T00:00:00]"/>
            <x15:cachedUniqueName index="26" name="[Pinjaman].[Tanggal Pinjaman].&amp;[2025-10-21T00:00:00]"/>
            <x15:cachedUniqueName index="27" name="[Pinjaman].[Tanggal Pinjaman].&amp;[2024-11-23T00:00:00]"/>
            <x15:cachedUniqueName index="28" name="[Pinjaman].[Tanggal Pinjaman].&amp;[2025-09-04T00:00:00]"/>
            <x15:cachedUniqueName index="29" name="[Pinjaman].[Tanggal Pinjaman].&amp;[2025-10-23T00:00:00]"/>
            <x15:cachedUniqueName index="30" name="[Pinjaman].[Tanggal Pinjaman].&amp;[2024-11-25T00:00:00]"/>
            <x15:cachedUniqueName index="31" name="[Pinjaman].[Tanggal Pinjaman].&amp;[2024-09-20T00:00:00]"/>
            <x15:cachedUniqueName index="32" name="[Pinjaman].[Tanggal Pinjaman].&amp;[2025-03-04T00:00:00]"/>
            <x15:cachedUniqueName index="33" name="[Pinjaman].[Tanggal Pinjaman].&amp;[2023-10-04T00:00:00]"/>
            <x15:cachedUniqueName index="34" name="[Pinjaman].[Tanggal Pinjaman].&amp;[2025-05-20T00:00:00]"/>
            <x15:cachedUniqueName index="35" name="[Pinjaman].[Tanggal Pinjaman].&amp;[2025-01-03T00:00:00]"/>
            <x15:cachedUniqueName index="36" name="[Pinjaman].[Tanggal Pinjaman].&amp;[2025-02-28T00:00:00]"/>
            <x15:cachedUniqueName index="37" name="[Pinjaman].[Tanggal Pinjaman].&amp;[2025-04-06T00:00:00]"/>
            <x15:cachedUniqueName index="38" name="[Pinjaman].[Tanggal Pinjaman].&amp;[2025-08-01T00:00:00]"/>
            <x15:cachedUniqueName index="39" name="[Pinjaman].[Tanggal Pinjaman].&amp;[2025-03-15T00:00:00]"/>
            <x15:cachedUniqueName index="40" name="[Pinjaman].[Tanggal Pinjaman].&amp;[2025-05-09T00:00:00]"/>
            <x15:cachedUniqueName index="41" name="[Pinjaman].[Tanggal Pinjaman].&amp;[2024-12-27T00:00:00]"/>
            <x15:cachedUniqueName index="42" name="[Pinjaman].[Tanggal Pinjaman].&amp;[2025-02-04T00:00:00]"/>
            <x15:cachedUniqueName index="43" name="[Pinjaman].[Tanggal Pinjaman].&amp;[2025-06-03T00:00:00]"/>
            <x15:cachedUniqueName index="44" name="[Pinjaman].[Tanggal Pinjaman].&amp;[2024-10-25T00:00:00]"/>
            <x15:cachedUniqueName index="45" name="[Pinjaman].[Tanggal Pinjaman].&amp;[2024-12-19T00:00:00]"/>
            <x15:cachedUniqueName index="46" name="[Pinjaman].[Tanggal Pinjaman].&amp;[2025-07-05T00:00:00]"/>
            <x15:cachedUniqueName index="47" name="[Pinjaman].[Tanggal Pinjaman].&amp;[2025-05-16T00:00:00]"/>
            <x15:cachedUniqueName index="48" name="[Pinjaman].[Tanggal Pinjaman].&amp;[2025-06-04T00:00:00]"/>
            <x15:cachedUniqueName index="49" name="[Pinjaman].[Tanggal Pinjaman].&amp;[2025-04-21T00:00:00]"/>
            <x15:cachedUniqueName index="50" name="[Pinjaman].[Tanggal Pinjaman].&amp;[2024-12-14T00:00:00]"/>
            <x15:cachedUniqueName index="51" name="[Pinjaman].[Tanggal Pinjaman].&amp;[2025-05-30T00:00:00]"/>
            <x15:cachedUniqueName index="52" name="[Pinjaman].[Tanggal Pinjaman].&amp;[2025-01-31T00:00:00]"/>
            <x15:cachedUniqueName index="53" name="[Pinjaman].[Tanggal Pinjaman].&amp;[2025-04-25T00:00:00]"/>
            <x15:cachedUniqueName index="54" name="[Pinjaman].[Tanggal Pinjaman].&amp;[2025-03-07T00:00:00]"/>
            <x15:cachedUniqueName index="55" name="[Pinjaman].[Tanggal Pinjaman].&amp;[2025-06-20T00:00:00]"/>
            <x15:cachedUniqueName index="56" name="[Pinjaman].[Tanggal Pinjaman].&amp;[2025-07-01T00:00:00]"/>
            <x15:cachedUniqueName index="57" name="[Pinjaman].[Tanggal Pinjaman].&amp;[2025-05-11T00:00:00]"/>
            <x15:cachedUniqueName index="58" name="[Pinjaman].[Tanggal Pinjaman].&amp;[2025-03-12T00:00:00]"/>
            <x15:cachedUniqueName index="59" name="[Pinjaman].[Tanggal Pinjaman].&amp;[2025-01-06T00:00:00]"/>
            <x15:cachedUniqueName index="60" name="[Pinjaman].[Tanggal Pinjaman].&amp;[2025-04-09T00:00:00]"/>
          </x15:cachedUniqueNames>
        </ext>
      </extLst>
    </cacheField>
    <cacheField name="[Pinjaman].[Remaining].[Remaining]" caption="Remaining" numFmtId="0" hierarchy="18" level="1">
      <sharedItems containsSemiMixedTypes="0" containsString="0" containsNumber="1" containsInteger="1" minValue="0" maxValue="3500000" count="9">
        <n v="3500000"/>
        <n v="0"/>
        <n v="2000000"/>
        <n v="3000000"/>
        <n v="1000000"/>
        <n v="2250000"/>
        <n v="500000"/>
        <n v="1500000"/>
        <n v="1250000"/>
      </sharedItems>
      <extLst>
        <ext xmlns:x15="http://schemas.microsoft.com/office/spreadsheetml/2010/11/main" uri="{4F2E5C28-24EA-4eb8-9CBF-B6C8F9C3D259}">
          <x15:cachedUniqueNames>
            <x15:cachedUniqueName index="0" name="[Pinjaman].[Remaining].&amp;[3500000]"/>
            <x15:cachedUniqueName index="1" name="[Pinjaman].[Remaining].&amp;[0]"/>
            <x15:cachedUniqueName index="2" name="[Pinjaman].[Remaining].&amp;[2000000]"/>
            <x15:cachedUniqueName index="3" name="[Pinjaman].[Remaining].&amp;[3000000]"/>
            <x15:cachedUniqueName index="4" name="[Pinjaman].[Remaining].&amp;[1000000]"/>
            <x15:cachedUniqueName index="5" name="[Pinjaman].[Remaining].&amp;[2250000]"/>
            <x15:cachedUniqueName index="6" name="[Pinjaman].[Remaining].&amp;[500000]"/>
            <x15:cachedUniqueName index="7" name="[Pinjaman].[Remaining].&amp;[1500000]"/>
            <x15:cachedUniqueName index="8" name="[Pinjaman].[Remaining].&amp;[1250000]"/>
          </x15:cachedUniqueNames>
        </ext>
      </extLst>
    </cacheField>
    <cacheField name="[Cicilan].[Slicer].[Slicer]" caption="Slicer" numFmtId="0" hierarchy="4" level="1">
      <sharedItems containsSemiMixedTypes="0" containsNonDate="0" containsString="0"/>
    </cacheField>
  </cacheFields>
  <cacheHierarchies count="39">
    <cacheHierarchy uniqueName="[Cicilan].[ID]" caption="ID" attribute="1" defaultMemberUniqueName="[Cicilan].[ID].[All]" allUniqueName="[Cicilan].[ID].[All]" dimensionUniqueName="[Cicilan]" displayFolder="" count="0" memberValueDatatype="130" unbalanced="0"/>
    <cacheHierarchy uniqueName="[Cicilan].[Nama]" caption="Nama" attribute="1" defaultMemberUniqueName="[Cicilan].[Nama].[All]" allUniqueName="[Cicilan].[Nama].[All]" dimensionUniqueName="[Cicilan]" displayFolder="" count="0" memberValueDatatype="130" unbalanced="0"/>
    <cacheHierarchy uniqueName="[Cicilan].[Cabang]" caption="Cabang" attribute="1" defaultMemberUniqueName="[Cicilan].[Cabang].[All]" allUniqueName="[Cicilan].[Cabang].[All]" dimensionUniqueName="[Cicilan]" displayFolder="" count="0" memberValueDatatype="130" unbalanced="0"/>
    <cacheHierarchy uniqueName="[Cicilan].[Periode Gaji]" caption="Periode Gaji" attribute="1" time="1" defaultMemberUniqueName="[Cicilan].[Periode Gaji].[All]" allUniqueName="[Cicilan].[Periode Gaji].[All]" dimensionUniqueName="[Cicilan]" displayFolder="" count="2" memberValueDatatype="7" unbalanced="0">
      <fieldsUsage count="2">
        <fieldUsage x="-1"/>
        <fieldUsage x="6"/>
      </fieldsUsage>
    </cacheHierarchy>
    <cacheHierarchy uniqueName="[Cicilan].[Slicer]" caption="Slicer" attribute="1" defaultMemberUniqueName="[Cicilan].[Slicer].[All]" allUniqueName="[Cicilan].[Slicer].[All]" dimensionUniqueName="[Cicilan]" displayFolder="" count="2" memberValueDatatype="130" unbalanced="0">
      <fieldsUsage count="2">
        <fieldUsage x="-1"/>
        <fieldUsage x="9"/>
      </fieldsUsage>
    </cacheHierarchy>
    <cacheHierarchy uniqueName="[Cicilan].[Jumlah Cicilan]" caption="Jumlah Cicilan" attribute="1" defaultMemberUniqueName="[Cicilan].[Jumlah Cicilan].[All]" allUniqueName="[Cicilan].[Jumlah Cicilan].[All]" dimensionUniqueName="[Cicilan]" displayFolder="" count="0" memberValueDatatype="20" unbalanced="0"/>
    <cacheHierarchy uniqueName="[Cicilan].[Payment Methode]" caption="Payment Methode" attribute="1" defaultMemberUniqueName="[Cicilan].[Payment Methode].[All]" allUniqueName="[Cicilan].[Payment Methode].[All]" dimensionUniqueName="[Cicilan]" displayFolder="" count="0" memberValueDatatype="130" unbalanced="0"/>
    <cacheHierarchy uniqueName="[Cicilan].[Periode Gaji (Year)]" caption="Periode Gaji (Year)" attribute="1" defaultMemberUniqueName="[Cicilan].[Periode Gaji (Year)].[All]" allUniqueName="[Cicilan].[Periode Gaji (Year)].[All]" dimensionUniqueName="[Cicilan]" displayFolder="" count="0" memberValueDatatype="130" unbalanced="0"/>
    <cacheHierarchy uniqueName="[Cicilan].[Periode Gaji (Quarter)]" caption="Periode Gaji (Quarter)" attribute="1" defaultMemberUniqueName="[Cicilan].[Periode Gaji (Quarter)].[All]" allUniqueName="[Cicilan].[Periode Gaji (Quarter)].[All]" dimensionUniqueName="[Cicilan]" displayFolder="" count="0" memberValueDatatype="130" unbalanced="0"/>
    <cacheHierarchy uniqueName="[Cicilan].[Periode Gaji (Month)]" caption="Periode Gaji (Month)" attribute="1" defaultMemberUniqueName="[Cicilan].[Periode Gaji (Month)].[All]" allUniqueName="[Cicilan].[Periode Gaji (Month)].[All]" dimensionUniqueName="[Cicilan]" displayFolder="" count="0" memberValueDatatype="130" unbalanced="0"/>
    <cacheHierarchy uniqueName="[Cicilan].[Status]" caption="Status" attribute="1" defaultMemberUniqueName="[Cicilan].[Status].[All]" allUniqueName="[Cicilan].[Status].[All]" dimensionUniqueName="[Cicilan]" displayFolder="" count="0" memberValueDatatype="130" unbalanced="0"/>
    <cacheHierarchy uniqueName="[Pinjaman].[ID]" caption="ID" attribute="1" defaultMemberUniqueName="[Pinjaman].[ID].[All]" allUniqueName="[Pinjaman].[ID].[All]" dimensionUniqueName="[Pinjaman]" displayFolder="" count="0" memberValueDatatype="130" unbalanced="0"/>
    <cacheHierarchy uniqueName="[Pinjaman].[Nama]" caption="Nama" attribute="1" defaultMemberUniqueName="[Pinjaman].[Nama].[All]" allUniqueName="[Pinjaman].[Nama].[All]" dimensionUniqueName="[Pinjaman]" displayFolder="" count="2" memberValueDatatype="130" unbalanced="0">
      <fieldsUsage count="2">
        <fieldUsage x="-1"/>
        <fieldUsage x="1"/>
      </fieldsUsage>
    </cacheHierarchy>
    <cacheHierarchy uniqueName="[Pinjaman].[Tanggal Pinjaman]" caption="Tanggal Pinjaman" attribute="1" time="1" defaultMemberUniqueName="[Pinjaman].[Tanggal Pinjaman].[All]" allUniqueName="[Pinjaman].[Tanggal Pinjaman].[All]" dimensionUniqueName="[Pinjaman]" displayFolder="" count="2" memberValueDatatype="7" unbalanced="0">
      <fieldsUsage count="2">
        <fieldUsage x="-1"/>
        <fieldUsage x="7"/>
      </fieldsUsage>
    </cacheHierarchy>
    <cacheHierarchy uniqueName="[Pinjaman].[Slicer]" caption="Slicer" attribute="1" defaultMemberUniqueName="[Pinjaman].[Slicer].[All]" allUniqueName="[Pinjaman].[Slicer].[All]" dimensionUniqueName="[Pinjaman]" displayFolder="" count="0" memberValueDatatype="130" unbalanced="0"/>
    <cacheHierarchy uniqueName="[Pinjaman].[Jumlah Pinjaman]" caption="Jumlah Pinjaman" attribute="1" defaultMemberUniqueName="[Pinjaman].[Jumlah Pinjaman].[All]" allUniqueName="[Pinjaman].[Jumlah Pinjaman].[All]" dimensionUniqueName="[Pinjaman]" displayFolder="" count="2" memberValueDatatype="20" unbalanced="0">
      <fieldsUsage count="2">
        <fieldUsage x="-1"/>
        <fieldUsage x="2"/>
      </fieldsUsage>
    </cacheHierarchy>
    <cacheHierarchy uniqueName="[Pinjaman].[Paid Off]" caption="Paid Off" attribute="1" defaultMemberUniqueName="[Pinjaman].[Paid Off].[All]" allUniqueName="[Pinjaman].[Paid Off].[All]" dimensionUniqueName="[Pinjaman]" displayFolder="" count="0" memberValueDatatype="20" unbalanced="0"/>
    <cacheHierarchy uniqueName="[Pinjaman].[Status]" caption="Status" attribute="1" defaultMemberUniqueName="[Pinjaman].[Status].[All]" allUniqueName="[Pinjaman].[Status].[All]" dimensionUniqueName="[Pinjaman]" displayFolder="" count="2" memberValueDatatype="130" unbalanced="0">
      <fieldsUsage count="2">
        <fieldUsage x="-1"/>
        <fieldUsage x="0"/>
      </fieldsUsage>
    </cacheHierarchy>
    <cacheHierarchy uniqueName="[Pinjaman].[Remaining]" caption="Remaining" attribute="1" defaultMemberUniqueName="[Pinjaman].[Remaining].[All]" allUniqueName="[Pinjaman].[Remaining].[All]" dimensionUniqueName="[Pinjaman]" displayFolder="" count="2" memberValueDatatype="20" unbalanced="0">
      <fieldsUsage count="2">
        <fieldUsage x="-1"/>
        <fieldUsage x="8"/>
      </fieldsUsage>
    </cacheHierarchy>
    <cacheHierarchy uniqueName="[Pinjaman].[Berapa kali]" caption="Berapa kali" attribute="1" defaultMemberUniqueName="[Pinjaman].[Berapa kali].[All]" allUniqueName="[Pinjaman].[Berapa kali].[All]" dimensionUniqueName="[Pinjaman]" displayFolder="" count="0" memberValueDatatype="20" unbalanced="0"/>
    <cacheHierarchy uniqueName="[Pinjaman].[Cicilan per Bulan]" caption="Cicilan per Bulan" attribute="1" defaultMemberUniqueName="[Pinjaman].[Cicilan per Bulan].[All]" allUniqueName="[Pinjaman].[Cicilan per Bulan].[All]" dimensionUniqueName="[Pinjaman]" displayFolder="" count="0" memberValueDatatype="20" unbalanced="0"/>
    <cacheHierarchy uniqueName="[Pinjaman].[TF]" caption="TF" attribute="1" defaultMemberUniqueName="[Pinjaman].[TF].[All]" allUniqueName="[Pinjaman].[TF].[All]" dimensionUniqueName="[Pinjaman]" displayFolder="" count="0" memberValueDatatype="130" unbalanced="0"/>
    <cacheHierarchy uniqueName="[Pinjaman].[Cabang]" caption="Cabang" attribute="1" defaultMemberUniqueName="[Pinjaman].[Cabang].[All]" allUniqueName="[Pinjaman].[Cabang].[All]" dimensionUniqueName="[Pinjaman]" displayFolder="" count="2" memberValueDatatype="130" unbalanced="0">
      <fieldsUsage count="2">
        <fieldUsage x="-1"/>
        <fieldUsage x="5"/>
      </fieldsUsage>
    </cacheHierarchy>
    <cacheHierarchy uniqueName="[Pinjaman].[Tanggal Pinjaman (Year)]" caption="Tanggal Pinjaman (Year)" attribute="1" defaultMemberUniqueName="[Pinjaman].[Tanggal Pinjaman (Year)].[All]" allUniqueName="[Pinjaman].[Tanggal Pinjaman (Year)].[All]" dimensionUniqueName="[Pinjaman]" displayFolder="" count="0" memberValueDatatype="130" unbalanced="0"/>
    <cacheHierarchy uniqueName="[Pinjaman].[Tanggal Pinjaman (Quarter)]" caption="Tanggal Pinjaman (Quarter)" attribute="1" defaultMemberUniqueName="[Pinjaman].[Tanggal Pinjaman (Quarter)].[All]" allUniqueName="[Pinjaman].[Tanggal Pinjaman (Quarter)].[All]" dimensionUniqueName="[Pinjaman]" displayFolder="" count="0" memberValueDatatype="130" unbalanced="0"/>
    <cacheHierarchy uniqueName="[Pinjaman].[Tanggal Pinjaman (Month)]" caption="Tanggal Pinjaman (Month)" attribute="1" defaultMemberUniqueName="[Pinjaman].[Tanggal Pinjaman (Month)].[All]" allUniqueName="[Pinjaman].[Tanggal Pinjaman (Month)].[All]" dimensionUniqueName="[Pinjaman]" displayFolder="" count="2" memberValueDatatype="130" unbalanced="0">
      <fieldsUsage count="2">
        <fieldUsage x="-1"/>
        <fieldUsage x="4"/>
      </fieldsUsage>
    </cacheHierarchy>
    <cacheHierarchy uniqueName="[Table3].[Methode]" caption="Methode" attribute="1" defaultMemberUniqueName="[Table3].[Methode].[All]" allUniqueName="[Table3].[Methode].[All]" dimensionUniqueName="[Table3]" displayFolder="" count="0" memberValueDatatype="130" unbalanced="0"/>
    <cacheHierarchy uniqueName="[Cicilan].[Periode Gaji (Month Index)]" caption="Periode Gaji (Month Index)" attribute="1" defaultMemberUniqueName="[Cicilan].[Periode Gaji (Month Index)].[All]" allUniqueName="[Cicilan].[Periode Gaji (Month Index)].[All]" dimensionUniqueName="[Cicilan]" displayFolder="" count="0" memberValueDatatype="20" unbalanced="0" hidden="1"/>
    <cacheHierarchy uniqueName="[Pinjaman].[Tanggal Pinjaman (Month Index)]" caption="Tanggal Pinjaman (Month Index)" attribute="1" defaultMemberUniqueName="[Pinjaman].[Tanggal Pinjaman (Month Index)].[All]" allUniqueName="[Pinjaman].[Tanggal Pinjaman (Month Index)].[All]" dimensionUniqueName="[Pinjaman]" displayFolder="" count="0" memberValueDatatype="20" unbalanced="0" hidden="1"/>
    <cacheHierarchy uniqueName="[Measures].[StatusPinj]" caption="StatusPinj" measure="1" displayFolder="" measureGroup="Pinjaman" count="0"/>
    <cacheHierarchy uniqueName="[Measures].[__XL_Count Pinjaman]" caption="__XL_Count Pinjaman" measure="1" displayFolder="" measureGroup="Pinjaman" count="0" hidden="1"/>
    <cacheHierarchy uniqueName="[Measures].[__XL_Count Cicilan]" caption="__XL_Count Cicilan" measure="1" displayFolder="" measureGroup="Cicilan"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umlah Pinjaman]" caption="Sum of Jumlah Pinjaman" measure="1" displayFolder="" measureGroup="Pinjaman" count="0" hidden="1">
      <extLst>
        <ext xmlns:x15="http://schemas.microsoft.com/office/spreadsheetml/2010/11/main" uri="{B97F6D7D-B522-45F9-BDA1-12C45D357490}">
          <x15:cacheHierarchy aggregatedColumn="15"/>
        </ext>
      </extLst>
    </cacheHierarchy>
    <cacheHierarchy uniqueName="[Measures].[Sum of Jumlah Cicilan]" caption="Sum of Jumlah Cicilan" measure="1" displayFolder="" measureGroup="Cicilan"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Remaining]" caption="Sum of Remaining" measure="1" displayFolder="" measureGroup="Pinjaman" count="0" hidden="1">
      <extLst>
        <ext xmlns:x15="http://schemas.microsoft.com/office/spreadsheetml/2010/11/main" uri="{B97F6D7D-B522-45F9-BDA1-12C45D357490}">
          <x15:cacheHierarchy aggregatedColumn="18"/>
        </ext>
      </extLst>
    </cacheHierarchy>
    <cacheHierarchy uniqueName="[Measures].[Count of Status]" caption="Count of Status" measure="1" displayFolder="" measureGroup="Pinjaman" count="0" hidden="1">
      <extLst>
        <ext xmlns:x15="http://schemas.microsoft.com/office/spreadsheetml/2010/11/main" uri="{B97F6D7D-B522-45F9-BDA1-12C45D357490}">
          <x15:cacheHierarchy aggregatedColumn="17"/>
        </ext>
      </extLst>
    </cacheHierarchy>
    <cacheHierarchy uniqueName="[Measures].[Sum of Paid Off]" caption="Sum of Paid Off" measure="1" displayFolder="" measureGroup="Pinjaman" count="0" hidden="1">
      <extLst>
        <ext xmlns:x15="http://schemas.microsoft.com/office/spreadsheetml/2010/11/main" uri="{B97F6D7D-B522-45F9-BDA1-12C45D357490}">
          <x15:cacheHierarchy aggregatedColumn="16"/>
        </ext>
      </extLst>
    </cacheHierarchy>
  </cacheHierarchies>
  <kpis count="0"/>
  <dimensions count="4">
    <dimension name="Cicilan" uniqueName="[Cicilan]" caption="Cicilan"/>
    <dimension measure="1" name="Measures" uniqueName="[Measures]" caption="Measures"/>
    <dimension name="Pinjaman" uniqueName="[Pinjaman]" caption="Pinjaman"/>
    <dimension name="Table3" uniqueName="[Table3]" caption="Table3"/>
  </dimensions>
  <measureGroups count="3">
    <measureGroup name="Cicilan" caption="Cicilan"/>
    <measureGroup name="Pinjaman" caption="Pinjaman"/>
    <measureGroup name="Table3" caption="Table3"/>
  </measureGroups>
  <maps count="4">
    <map measureGroup="0" dimension="0"/>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8.90626585648" backgroundQuery="1" createdVersion="3" refreshedVersion="8" minRefreshableVersion="3" recordCount="0" supportSubquery="1" supportAdvancedDrill="1" xr:uid="{14C726DE-F306-427E-96D3-3C2204AABAB1}">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Cicilan].[ID]" caption="ID" attribute="1" defaultMemberUniqueName="[Cicilan].[ID].[All]" allUniqueName="[Cicilan].[ID].[All]" dimensionUniqueName="[Cicilan]" displayFolder="" count="0" memberValueDatatype="130" unbalanced="0"/>
    <cacheHierarchy uniqueName="[Cicilan].[Nama]" caption="Nama" attribute="1" defaultMemberUniqueName="[Cicilan].[Nama].[All]" allUniqueName="[Cicilan].[Nama].[All]" dimensionUniqueName="[Cicilan]" displayFolder="" count="0" memberValueDatatype="130" unbalanced="0"/>
    <cacheHierarchy uniqueName="[Cicilan].[Cabang]" caption="Cabang" attribute="1" defaultMemberUniqueName="[Cicilan].[Cabang].[All]" allUniqueName="[Cicilan].[Cabang].[All]" dimensionUniqueName="[Cicilan]" displayFolder="" count="0" memberValueDatatype="130" unbalanced="0"/>
    <cacheHierarchy uniqueName="[Cicilan].[Periode Gaji]" caption="Periode Gaji" attribute="1" time="1" defaultMemberUniqueName="[Cicilan].[Periode Gaji].[All]" allUniqueName="[Cicilan].[Periode Gaji].[All]" dimensionUniqueName="[Cicilan]" displayFolder="" count="0" memberValueDatatype="7" unbalanced="0"/>
    <cacheHierarchy uniqueName="[Cicilan].[Slicer]" caption="Slicer" attribute="1" defaultMemberUniqueName="[Cicilan].[Slicer].[All]" allUniqueName="[Cicilan].[Slicer].[All]" dimensionUniqueName="[Cicilan]" displayFolder="" count="2" memberValueDatatype="130" unbalanced="0"/>
    <cacheHierarchy uniqueName="[Cicilan].[Jumlah Cicilan]" caption="Jumlah Cicilan" attribute="1" defaultMemberUniqueName="[Cicilan].[Jumlah Cicilan].[All]" allUniqueName="[Cicilan].[Jumlah Cicilan].[All]" dimensionUniqueName="[Cicilan]" displayFolder="" count="0" memberValueDatatype="20" unbalanced="0"/>
    <cacheHierarchy uniqueName="[Cicilan].[Payment Methode]" caption="Payment Methode" attribute="1" defaultMemberUniqueName="[Cicilan].[Payment Methode].[All]" allUniqueName="[Cicilan].[Payment Methode].[All]" dimensionUniqueName="[Cicilan]" displayFolder="" count="0" memberValueDatatype="130" unbalanced="0"/>
    <cacheHierarchy uniqueName="[Cicilan].[Periode Gaji (Year)]" caption="Periode Gaji (Year)" attribute="1" defaultMemberUniqueName="[Cicilan].[Periode Gaji (Year)].[All]" allUniqueName="[Cicilan].[Periode Gaji (Year)].[All]" dimensionUniqueName="[Cicilan]" displayFolder="" count="0" memberValueDatatype="130" unbalanced="0"/>
    <cacheHierarchy uniqueName="[Cicilan].[Periode Gaji (Quarter)]" caption="Periode Gaji (Quarter)" attribute="1" defaultMemberUniqueName="[Cicilan].[Periode Gaji (Quarter)].[All]" allUniqueName="[Cicilan].[Periode Gaji (Quarter)].[All]" dimensionUniqueName="[Cicilan]" displayFolder="" count="0" memberValueDatatype="130" unbalanced="0"/>
    <cacheHierarchy uniqueName="[Cicilan].[Periode Gaji (Month)]" caption="Periode Gaji (Month)" attribute="1" defaultMemberUniqueName="[Cicilan].[Periode Gaji (Month)].[All]" allUniqueName="[Cicilan].[Periode Gaji (Month)].[All]" dimensionUniqueName="[Cicilan]" displayFolder="" count="0" memberValueDatatype="130" unbalanced="0"/>
    <cacheHierarchy uniqueName="[Cicilan].[Status]" caption="Status" attribute="1" defaultMemberUniqueName="[Cicilan].[Status].[All]" allUniqueName="[Cicilan].[Status].[All]" dimensionUniqueName="[Cicilan]" displayFolder="" count="0" memberValueDatatype="130" unbalanced="0"/>
    <cacheHierarchy uniqueName="[Pinjaman].[ID]" caption="ID" attribute="1" defaultMemberUniqueName="[Pinjaman].[ID].[All]" allUniqueName="[Pinjaman].[ID].[All]" dimensionUniqueName="[Pinjaman]" displayFolder="" count="0" memberValueDatatype="130" unbalanced="0"/>
    <cacheHierarchy uniqueName="[Pinjaman].[Nama]" caption="Nama" attribute="1" defaultMemberUniqueName="[Pinjaman].[Nama].[All]" allUniqueName="[Pinjaman].[Nama].[All]" dimensionUniqueName="[Pinjaman]" displayFolder="" count="0" memberValueDatatype="130" unbalanced="0"/>
    <cacheHierarchy uniqueName="[Pinjaman].[Tanggal Pinjaman]" caption="Tanggal Pinjaman" attribute="1" time="1" defaultMemberUniqueName="[Pinjaman].[Tanggal Pinjaman].[All]" allUniqueName="[Pinjaman].[Tanggal Pinjaman].[All]" dimensionUniqueName="[Pinjaman]" displayFolder="" count="0" memberValueDatatype="7" unbalanced="0"/>
    <cacheHierarchy uniqueName="[Pinjaman].[Slicer]" caption="Slicer" attribute="1" defaultMemberUniqueName="[Pinjaman].[Slicer].[All]" allUniqueName="[Pinjaman].[Slicer].[All]" dimensionUniqueName="[Pinjaman]" displayFolder="" count="0" memberValueDatatype="130" unbalanced="0"/>
    <cacheHierarchy uniqueName="[Pinjaman].[Jumlah Pinjaman]" caption="Jumlah Pinjaman" attribute="1" defaultMemberUniqueName="[Pinjaman].[Jumlah Pinjaman].[All]" allUniqueName="[Pinjaman].[Jumlah Pinjaman].[All]" dimensionUniqueName="[Pinjaman]" displayFolder="" count="0" memberValueDatatype="20" unbalanced="0"/>
    <cacheHierarchy uniqueName="[Pinjaman].[Paid Off]" caption="Paid Off" attribute="1" defaultMemberUniqueName="[Pinjaman].[Paid Off].[All]" allUniqueName="[Pinjaman].[Paid Off].[All]" dimensionUniqueName="[Pinjaman]" displayFolder="" count="0" memberValueDatatype="20" unbalanced="0"/>
    <cacheHierarchy uniqueName="[Pinjaman].[Status]" caption="Status" attribute="1" defaultMemberUniqueName="[Pinjaman].[Status].[All]" allUniqueName="[Pinjaman].[Status].[All]" dimensionUniqueName="[Pinjaman]" displayFolder="" count="2" memberValueDatatype="130" unbalanced="0"/>
    <cacheHierarchy uniqueName="[Pinjaman].[Remaining]" caption="Remaining" attribute="1" defaultMemberUniqueName="[Pinjaman].[Remaining].[All]" allUniqueName="[Pinjaman].[Remaining].[All]" dimensionUniqueName="[Pinjaman]" displayFolder="" count="0" memberValueDatatype="20" unbalanced="0"/>
    <cacheHierarchy uniqueName="[Pinjaman].[Berapa kali]" caption="Berapa kali" attribute="1" defaultMemberUniqueName="[Pinjaman].[Berapa kali].[All]" allUniqueName="[Pinjaman].[Berapa kali].[All]" dimensionUniqueName="[Pinjaman]" displayFolder="" count="0" memberValueDatatype="20" unbalanced="0"/>
    <cacheHierarchy uniqueName="[Pinjaman].[Cicilan per Bulan]" caption="Cicilan per Bulan" attribute="1" defaultMemberUniqueName="[Pinjaman].[Cicilan per Bulan].[All]" allUniqueName="[Pinjaman].[Cicilan per Bulan].[All]" dimensionUniqueName="[Pinjaman]" displayFolder="" count="0" memberValueDatatype="20" unbalanced="0"/>
    <cacheHierarchy uniqueName="[Pinjaman].[TF]" caption="TF" attribute="1" defaultMemberUniqueName="[Pinjaman].[TF].[All]" allUniqueName="[Pinjaman].[TF].[All]" dimensionUniqueName="[Pinjaman]" displayFolder="" count="0" memberValueDatatype="130" unbalanced="0"/>
    <cacheHierarchy uniqueName="[Pinjaman].[Cabang]" caption="Cabang" attribute="1" defaultMemberUniqueName="[Pinjaman].[Cabang].[All]" allUniqueName="[Pinjaman].[Cabang].[All]" dimensionUniqueName="[Pinjaman]" displayFolder="" count="0" memberValueDatatype="130" unbalanced="0"/>
    <cacheHierarchy uniqueName="[Pinjaman].[Tanggal Pinjaman (Year)]" caption="Tanggal Pinjaman (Year)" attribute="1" defaultMemberUniqueName="[Pinjaman].[Tanggal Pinjaman (Year)].[All]" allUniqueName="[Pinjaman].[Tanggal Pinjaman (Year)].[All]" dimensionUniqueName="[Pinjaman]" displayFolder="" count="0" memberValueDatatype="130" unbalanced="0"/>
    <cacheHierarchy uniqueName="[Pinjaman].[Tanggal Pinjaman (Quarter)]" caption="Tanggal Pinjaman (Quarter)" attribute="1" defaultMemberUniqueName="[Pinjaman].[Tanggal Pinjaman (Quarter)].[All]" allUniqueName="[Pinjaman].[Tanggal Pinjaman (Quarter)].[All]" dimensionUniqueName="[Pinjaman]" displayFolder="" count="0" memberValueDatatype="130" unbalanced="0"/>
    <cacheHierarchy uniqueName="[Pinjaman].[Tanggal Pinjaman (Month)]" caption="Tanggal Pinjaman (Month)" attribute="1" defaultMemberUniqueName="[Pinjaman].[Tanggal Pinjaman (Month)].[All]" allUniqueName="[Pinjaman].[Tanggal Pinjaman (Month)].[All]" dimensionUniqueName="[Pinjaman]" displayFolder="" count="0" memberValueDatatype="130" unbalanced="0"/>
    <cacheHierarchy uniqueName="[Table3].[Methode]" caption="Methode" attribute="1" defaultMemberUniqueName="[Table3].[Methode].[All]" allUniqueName="[Table3].[Methode].[All]" dimensionUniqueName="[Table3]" displayFolder="" count="0" memberValueDatatype="130" unbalanced="0"/>
    <cacheHierarchy uniqueName="[Cicilan].[Periode Gaji (Month Index)]" caption="Periode Gaji (Month Index)" attribute="1" defaultMemberUniqueName="[Cicilan].[Periode Gaji (Month Index)].[All]" allUniqueName="[Cicilan].[Periode Gaji (Month Index)].[All]" dimensionUniqueName="[Cicilan]" displayFolder="" count="0" memberValueDatatype="20" unbalanced="0" hidden="1"/>
    <cacheHierarchy uniqueName="[Pinjaman].[Tanggal Pinjaman (Month Index)]" caption="Tanggal Pinjaman (Month Index)" attribute="1" defaultMemberUniqueName="[Pinjaman].[Tanggal Pinjaman (Month Index)].[All]" allUniqueName="[Pinjaman].[Tanggal Pinjaman (Month Index)].[All]" dimensionUniqueName="[Pinjaman]" displayFolder="" count="0" memberValueDatatype="20" unbalanced="0" hidden="1"/>
    <cacheHierarchy uniqueName="[Measures].[StatusPinj]" caption="StatusPinj" measure="1" displayFolder="" measureGroup="Pinjaman" count="0"/>
    <cacheHierarchy uniqueName="[Measures].[__XL_Count Pinjaman]" caption="__XL_Count Pinjaman" measure="1" displayFolder="" measureGroup="Pinjaman" count="0" hidden="1"/>
    <cacheHierarchy uniqueName="[Measures].[__XL_Count Cicilan]" caption="__XL_Count Cicilan" measure="1" displayFolder="" measureGroup="Cicilan"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Jumlah Pinjaman]" caption="Sum of Jumlah Pinjaman" measure="1" displayFolder="" measureGroup="Pinjaman" count="0" hidden="1">
      <extLst>
        <ext xmlns:x15="http://schemas.microsoft.com/office/spreadsheetml/2010/11/main" uri="{B97F6D7D-B522-45F9-BDA1-12C45D357490}">
          <x15:cacheHierarchy aggregatedColumn="15"/>
        </ext>
      </extLst>
    </cacheHierarchy>
    <cacheHierarchy uniqueName="[Measures].[Sum of Jumlah Cicilan]" caption="Sum of Jumlah Cicilan" measure="1" displayFolder="" measureGroup="Cicilan" count="0" hidden="1">
      <extLst>
        <ext xmlns:x15="http://schemas.microsoft.com/office/spreadsheetml/2010/11/main" uri="{B97F6D7D-B522-45F9-BDA1-12C45D357490}">
          <x15:cacheHierarchy aggregatedColumn="5"/>
        </ext>
      </extLst>
    </cacheHierarchy>
    <cacheHierarchy uniqueName="[Measures].[Sum of Remaining]" caption="Sum of Remaining" measure="1" displayFolder="" measureGroup="Pinjaman" count="0" hidden="1">
      <extLst>
        <ext xmlns:x15="http://schemas.microsoft.com/office/spreadsheetml/2010/11/main" uri="{B97F6D7D-B522-45F9-BDA1-12C45D357490}">
          <x15:cacheHierarchy aggregatedColumn="18"/>
        </ext>
      </extLst>
    </cacheHierarchy>
    <cacheHierarchy uniqueName="[Measures].[Count of Status]" caption="Count of Status" measure="1" displayFolder="" measureGroup="Pinjaman" count="0" hidden="1">
      <extLst>
        <ext xmlns:x15="http://schemas.microsoft.com/office/spreadsheetml/2010/11/main" uri="{B97F6D7D-B522-45F9-BDA1-12C45D357490}">
          <x15:cacheHierarchy aggregatedColumn="17"/>
        </ext>
      </extLst>
    </cacheHierarchy>
    <cacheHierarchy uniqueName="[Measures].[Sum of Paid Off]" caption="Sum of Paid Off" measure="1" displayFolder="" measureGroup="Pinjaman"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78042840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s v="P001"/>
    <x v="0"/>
    <x v="0"/>
    <x v="0"/>
    <x v="0"/>
    <x v="0"/>
    <x v="0"/>
    <x v="0"/>
    <x v="0"/>
    <x v="0"/>
    <x v="0"/>
    <x v="0"/>
  </r>
  <r>
    <s v="P002"/>
    <x v="0"/>
    <x v="1"/>
    <x v="1"/>
    <x v="1"/>
    <x v="1"/>
    <x v="0"/>
    <x v="0"/>
    <x v="1"/>
    <x v="0"/>
    <x v="0"/>
    <x v="0"/>
  </r>
  <r>
    <s v="P003"/>
    <x v="1"/>
    <x v="2"/>
    <x v="0"/>
    <x v="2"/>
    <x v="2"/>
    <x v="0"/>
    <x v="0"/>
    <x v="0"/>
    <x v="1"/>
    <x v="0"/>
    <x v="1"/>
  </r>
  <r>
    <s v="P004"/>
    <x v="1"/>
    <x v="3"/>
    <x v="2"/>
    <x v="3"/>
    <x v="3"/>
    <x v="0"/>
    <x v="0"/>
    <x v="0"/>
    <x v="1"/>
    <x v="1"/>
    <x v="1"/>
  </r>
  <r>
    <s v="P005"/>
    <x v="2"/>
    <x v="4"/>
    <x v="1"/>
    <x v="0"/>
    <x v="0"/>
    <x v="0"/>
    <x v="0"/>
    <x v="0"/>
    <x v="1"/>
    <x v="2"/>
    <x v="0"/>
  </r>
  <r>
    <s v="P006"/>
    <x v="3"/>
    <x v="5"/>
    <x v="1"/>
    <x v="4"/>
    <x v="4"/>
    <x v="0"/>
    <x v="0"/>
    <x v="2"/>
    <x v="2"/>
    <x v="2"/>
    <x v="2"/>
  </r>
  <r>
    <s v="P007"/>
    <x v="4"/>
    <x v="6"/>
    <x v="3"/>
    <x v="3"/>
    <x v="3"/>
    <x v="0"/>
    <x v="0"/>
    <x v="0"/>
    <x v="3"/>
    <x v="0"/>
    <x v="1"/>
  </r>
  <r>
    <s v="P008"/>
    <x v="4"/>
    <x v="4"/>
    <x v="1"/>
    <x v="5"/>
    <x v="5"/>
    <x v="0"/>
    <x v="0"/>
    <x v="0"/>
    <x v="3"/>
    <x v="2"/>
    <x v="1"/>
  </r>
  <r>
    <s v="P009"/>
    <x v="4"/>
    <x v="7"/>
    <x v="4"/>
    <x v="3"/>
    <x v="3"/>
    <x v="0"/>
    <x v="0"/>
    <x v="0"/>
    <x v="3"/>
    <x v="1"/>
    <x v="1"/>
  </r>
  <r>
    <s v="P010"/>
    <x v="5"/>
    <x v="8"/>
    <x v="3"/>
    <x v="6"/>
    <x v="6"/>
    <x v="0"/>
    <x v="0"/>
    <x v="0"/>
    <x v="3"/>
    <x v="0"/>
    <x v="0"/>
  </r>
  <r>
    <s v="P012"/>
    <x v="6"/>
    <x v="9"/>
    <x v="5"/>
    <x v="5"/>
    <x v="5"/>
    <x v="0"/>
    <x v="0"/>
    <x v="0"/>
    <x v="3"/>
    <x v="0"/>
    <x v="3"/>
  </r>
  <r>
    <s v="P013"/>
    <x v="6"/>
    <x v="10"/>
    <x v="3"/>
    <x v="7"/>
    <x v="7"/>
    <x v="0"/>
    <x v="0"/>
    <x v="0"/>
    <x v="3"/>
    <x v="0"/>
    <x v="3"/>
  </r>
  <r>
    <s v="P014"/>
    <x v="6"/>
    <x v="11"/>
    <x v="6"/>
    <x v="0"/>
    <x v="0"/>
    <x v="0"/>
    <x v="0"/>
    <x v="0"/>
    <x v="3"/>
    <x v="1"/>
    <x v="3"/>
  </r>
  <r>
    <s v="P015"/>
    <x v="6"/>
    <x v="12"/>
    <x v="7"/>
    <x v="0"/>
    <x v="0"/>
    <x v="0"/>
    <x v="0"/>
    <x v="3"/>
    <x v="4"/>
    <x v="1"/>
    <x v="3"/>
  </r>
  <r>
    <s v="P017"/>
    <x v="7"/>
    <x v="13"/>
    <x v="8"/>
    <x v="8"/>
    <x v="8"/>
    <x v="0"/>
    <x v="0"/>
    <x v="0"/>
    <x v="3"/>
    <x v="1"/>
    <x v="1"/>
  </r>
  <r>
    <s v="P018"/>
    <x v="8"/>
    <x v="14"/>
    <x v="8"/>
    <x v="0"/>
    <x v="0"/>
    <x v="0"/>
    <x v="0"/>
    <x v="0"/>
    <x v="3"/>
    <x v="1"/>
    <x v="0"/>
  </r>
  <r>
    <s v="P019"/>
    <x v="8"/>
    <x v="15"/>
    <x v="4"/>
    <x v="9"/>
    <x v="9"/>
    <x v="0"/>
    <x v="0"/>
    <x v="0"/>
    <x v="3"/>
    <x v="1"/>
    <x v="0"/>
  </r>
  <r>
    <s v="P020"/>
    <x v="9"/>
    <x v="16"/>
    <x v="1"/>
    <x v="2"/>
    <x v="2"/>
    <x v="0"/>
    <x v="0"/>
    <x v="0"/>
    <x v="3"/>
    <x v="2"/>
    <x v="0"/>
  </r>
  <r>
    <s v="P021"/>
    <x v="9"/>
    <x v="17"/>
    <x v="2"/>
    <x v="5"/>
    <x v="5"/>
    <x v="0"/>
    <x v="0"/>
    <x v="0"/>
    <x v="3"/>
    <x v="2"/>
    <x v="0"/>
  </r>
  <r>
    <s v="P022"/>
    <x v="9"/>
    <x v="18"/>
    <x v="7"/>
    <x v="3"/>
    <x v="3"/>
    <x v="0"/>
    <x v="0"/>
    <x v="0"/>
    <x v="3"/>
    <x v="3"/>
    <x v="0"/>
  </r>
  <r>
    <s v="P023"/>
    <x v="10"/>
    <x v="19"/>
    <x v="2"/>
    <x v="5"/>
    <x v="5"/>
    <x v="0"/>
    <x v="0"/>
    <x v="0"/>
    <x v="3"/>
    <x v="1"/>
    <x v="1"/>
  </r>
  <r>
    <s v="P024"/>
    <x v="11"/>
    <x v="7"/>
    <x v="4"/>
    <x v="5"/>
    <x v="5"/>
    <x v="0"/>
    <x v="0"/>
    <x v="0"/>
    <x v="3"/>
    <x v="1"/>
    <x v="1"/>
  </r>
  <r>
    <s v="P025"/>
    <x v="12"/>
    <x v="7"/>
    <x v="4"/>
    <x v="2"/>
    <x v="2"/>
    <x v="0"/>
    <x v="0"/>
    <x v="0"/>
    <x v="3"/>
    <x v="1"/>
    <x v="1"/>
  </r>
  <r>
    <s v="P026"/>
    <x v="13"/>
    <x v="7"/>
    <x v="4"/>
    <x v="6"/>
    <x v="6"/>
    <x v="0"/>
    <x v="0"/>
    <x v="4"/>
    <x v="5"/>
    <x v="1"/>
    <x v="0"/>
  </r>
  <r>
    <s v="P027"/>
    <x v="14"/>
    <x v="20"/>
    <x v="4"/>
    <x v="3"/>
    <x v="3"/>
    <x v="0"/>
    <x v="0"/>
    <x v="0"/>
    <x v="3"/>
    <x v="1"/>
    <x v="4"/>
  </r>
  <r>
    <s v="P028"/>
    <x v="15"/>
    <x v="21"/>
    <x v="4"/>
    <x v="10"/>
    <x v="10"/>
    <x v="0"/>
    <x v="0"/>
    <x v="0"/>
    <x v="3"/>
    <x v="1"/>
    <x v="0"/>
  </r>
  <r>
    <s v="P029"/>
    <x v="16"/>
    <x v="22"/>
    <x v="4"/>
    <x v="11"/>
    <x v="11"/>
    <x v="0"/>
    <x v="0"/>
    <x v="0"/>
    <x v="3"/>
    <x v="3"/>
    <x v="3"/>
  </r>
  <r>
    <s v="P030"/>
    <x v="17"/>
    <x v="22"/>
    <x v="4"/>
    <x v="12"/>
    <x v="12"/>
    <x v="0"/>
    <x v="0"/>
    <x v="0"/>
    <x v="3"/>
    <x v="3"/>
    <x v="4"/>
  </r>
  <r>
    <s v="P031"/>
    <x v="18"/>
    <x v="23"/>
    <x v="4"/>
    <x v="0"/>
    <x v="0"/>
    <x v="0"/>
    <x v="0"/>
    <x v="0"/>
    <x v="3"/>
    <x v="1"/>
    <x v="1"/>
  </r>
  <r>
    <s v="P032"/>
    <x v="19"/>
    <x v="24"/>
    <x v="9"/>
    <x v="10"/>
    <x v="10"/>
    <x v="0"/>
    <x v="0"/>
    <x v="0"/>
    <x v="3"/>
    <x v="3"/>
    <x v="0"/>
  </r>
  <r>
    <s v="P033"/>
    <x v="20"/>
    <x v="25"/>
    <x v="9"/>
    <x v="2"/>
    <x v="2"/>
    <x v="0"/>
    <x v="0"/>
    <x v="0"/>
    <x v="3"/>
    <x v="1"/>
    <x v="1"/>
  </r>
  <r>
    <s v="P034"/>
    <x v="21"/>
    <x v="25"/>
    <x v="9"/>
    <x v="0"/>
    <x v="0"/>
    <x v="0"/>
    <x v="0"/>
    <x v="5"/>
    <x v="5"/>
    <x v="1"/>
    <x v="1"/>
  </r>
  <r>
    <s v="P035"/>
    <x v="22"/>
    <x v="25"/>
    <x v="9"/>
    <x v="3"/>
    <x v="3"/>
    <x v="0"/>
    <x v="0"/>
    <x v="0"/>
    <x v="3"/>
    <x v="1"/>
    <x v="5"/>
  </r>
  <r>
    <s v="P036"/>
    <x v="23"/>
    <x v="26"/>
    <x v="9"/>
    <x v="5"/>
    <x v="5"/>
    <x v="0"/>
    <x v="0"/>
    <x v="4"/>
    <x v="1"/>
    <x v="1"/>
    <x v="1"/>
  </r>
  <r>
    <s v="P037"/>
    <x v="24"/>
    <x v="27"/>
    <x v="9"/>
    <x v="13"/>
    <x v="13"/>
    <x v="0"/>
    <x v="0"/>
    <x v="0"/>
    <x v="3"/>
    <x v="1"/>
    <x v="1"/>
  </r>
  <r>
    <s v="P038"/>
    <x v="16"/>
    <x v="28"/>
    <x v="9"/>
    <x v="5"/>
    <x v="5"/>
    <x v="0"/>
    <x v="0"/>
    <x v="3"/>
    <x v="5"/>
    <x v="1"/>
    <x v="3"/>
  </r>
  <r>
    <s v="P039"/>
    <x v="25"/>
    <x v="29"/>
    <x v="6"/>
    <x v="14"/>
    <x v="14"/>
    <x v="0"/>
    <x v="0"/>
    <x v="0"/>
    <x v="3"/>
    <x v="1"/>
    <x v="5"/>
  </r>
  <r>
    <s v="P040"/>
    <x v="26"/>
    <x v="11"/>
    <x v="6"/>
    <x v="5"/>
    <x v="5"/>
    <x v="0"/>
    <x v="0"/>
    <x v="0"/>
    <x v="3"/>
    <x v="1"/>
    <x v="3"/>
  </r>
  <r>
    <s v="P041"/>
    <x v="27"/>
    <x v="30"/>
    <x v="6"/>
    <x v="0"/>
    <x v="0"/>
    <x v="0"/>
    <x v="0"/>
    <x v="3"/>
    <x v="4"/>
    <x v="1"/>
    <x v="1"/>
  </r>
  <r>
    <s v="P043"/>
    <x v="28"/>
    <x v="31"/>
    <x v="7"/>
    <x v="10"/>
    <x v="10"/>
    <x v="0"/>
    <x v="0"/>
    <x v="5"/>
    <x v="3"/>
    <x v="1"/>
    <x v="1"/>
  </r>
  <r>
    <s v="P044"/>
    <x v="25"/>
    <x v="18"/>
    <x v="7"/>
    <x v="5"/>
    <x v="5"/>
    <x v="0"/>
    <x v="0"/>
    <x v="0"/>
    <x v="3"/>
    <x v="1"/>
    <x v="5"/>
  </r>
  <r>
    <s v="P045"/>
    <x v="26"/>
    <x v="12"/>
    <x v="7"/>
    <x v="5"/>
    <x v="5"/>
    <x v="0"/>
    <x v="0"/>
    <x v="1"/>
    <x v="6"/>
    <x v="1"/>
    <x v="3"/>
  </r>
  <r>
    <s v="P047"/>
    <x v="29"/>
    <x v="32"/>
    <x v="7"/>
    <x v="5"/>
    <x v="5"/>
    <x v="0"/>
    <x v="0"/>
    <x v="4"/>
    <x v="1"/>
    <x v="1"/>
    <x v="6"/>
  </r>
  <r>
    <s v="P048"/>
    <x v="25"/>
    <x v="33"/>
    <x v="10"/>
    <x v="0"/>
    <x v="0"/>
    <x v="0"/>
    <x v="0"/>
    <x v="6"/>
    <x v="7"/>
    <x v="3"/>
    <x v="5"/>
  </r>
  <r>
    <s v="P049"/>
    <x v="30"/>
    <x v="34"/>
    <x v="11"/>
    <x v="0"/>
    <x v="0"/>
    <x v="0"/>
    <x v="0"/>
    <x v="0"/>
    <x v="3"/>
    <x v="3"/>
    <x v="6"/>
  </r>
  <r>
    <s v="P050"/>
    <x v="30"/>
    <x v="35"/>
    <x v="8"/>
    <x v="0"/>
    <x v="0"/>
    <x v="0"/>
    <x v="0"/>
    <x v="0"/>
    <x v="3"/>
    <x v="3"/>
    <x v="6"/>
  </r>
  <r>
    <s v="P051"/>
    <x v="22"/>
    <x v="36"/>
    <x v="10"/>
    <x v="8"/>
    <x v="8"/>
    <x v="0"/>
    <x v="0"/>
    <x v="1"/>
    <x v="1"/>
    <x v="1"/>
    <x v="5"/>
  </r>
  <r>
    <s v="P052"/>
    <x v="31"/>
    <x v="37"/>
    <x v="12"/>
    <x v="10"/>
    <x v="10"/>
    <x v="0"/>
    <x v="0"/>
    <x v="7"/>
    <x v="0"/>
    <x v="1"/>
    <x v="6"/>
  </r>
  <r>
    <s v="P053"/>
    <x v="29"/>
    <x v="38"/>
    <x v="13"/>
    <x v="5"/>
    <x v="5"/>
    <x v="0"/>
    <x v="0"/>
    <x v="4"/>
    <x v="1"/>
    <x v="1"/>
    <x v="6"/>
  </r>
  <r>
    <s v="P054"/>
    <x v="32"/>
    <x v="39"/>
    <x v="8"/>
    <x v="5"/>
    <x v="5"/>
    <x v="0"/>
    <x v="0"/>
    <x v="1"/>
    <x v="6"/>
    <x v="2"/>
    <x v="4"/>
  </r>
  <r>
    <s v="P055"/>
    <x v="16"/>
    <x v="0"/>
    <x v="0"/>
    <x v="0"/>
    <x v="0"/>
    <x v="0"/>
    <x v="0"/>
    <x v="5"/>
    <x v="5"/>
    <x v="0"/>
    <x v="3"/>
  </r>
  <r>
    <s v="P056"/>
    <x v="33"/>
    <x v="40"/>
    <x v="2"/>
    <x v="2"/>
    <x v="2"/>
    <x v="0"/>
    <x v="0"/>
    <x v="0"/>
    <x v="3"/>
    <x v="1"/>
    <x v="4"/>
  </r>
  <r>
    <s v="P057"/>
    <x v="34"/>
    <x v="41"/>
    <x v="0"/>
    <x v="15"/>
    <x v="15"/>
    <x v="0"/>
    <x v="0"/>
    <x v="0"/>
    <x v="3"/>
    <x v="1"/>
    <x v="4"/>
  </r>
  <r>
    <s v="P058"/>
    <x v="35"/>
    <x v="42"/>
    <x v="10"/>
    <x v="13"/>
    <x v="13"/>
    <x v="0"/>
    <x v="0"/>
    <x v="1"/>
    <x v="8"/>
    <x v="1"/>
    <x v="4"/>
  </r>
  <r>
    <s v="P059"/>
    <x v="36"/>
    <x v="43"/>
    <x v="10"/>
    <x v="5"/>
    <x v="5"/>
    <x v="0"/>
    <x v="0"/>
    <x v="1"/>
    <x v="6"/>
    <x v="1"/>
    <x v="4"/>
  </r>
  <r>
    <s v="P060"/>
    <x v="7"/>
    <x v="43"/>
    <x v="10"/>
    <x v="3"/>
    <x v="3"/>
    <x v="0"/>
    <x v="0"/>
    <x v="3"/>
    <x v="1"/>
    <x v="2"/>
    <x v="1"/>
  </r>
  <r>
    <s v="P061"/>
    <x v="18"/>
    <x v="44"/>
    <x v="10"/>
    <x v="10"/>
    <x v="10"/>
    <x v="0"/>
    <x v="0"/>
    <x v="3"/>
    <x v="9"/>
    <x v="1"/>
    <x v="1"/>
  </r>
  <r>
    <s v="P062"/>
    <x v="1"/>
    <x v="44"/>
    <x v="10"/>
    <x v="2"/>
    <x v="2"/>
    <x v="0"/>
    <x v="0"/>
    <x v="5"/>
    <x v="1"/>
    <x v="1"/>
    <x v="1"/>
  </r>
  <r>
    <s v="P063"/>
    <x v="19"/>
    <x v="45"/>
    <x v="10"/>
    <x v="16"/>
    <x v="16"/>
    <x v="0"/>
    <x v="0"/>
    <x v="5"/>
    <x v="10"/>
    <x v="1"/>
    <x v="0"/>
  </r>
  <r>
    <s v="P064"/>
    <x v="15"/>
    <x v="45"/>
    <x v="10"/>
    <x v="10"/>
    <x v="10"/>
    <x v="0"/>
    <x v="0"/>
    <x v="5"/>
    <x v="4"/>
    <x v="1"/>
    <x v="0"/>
  </r>
  <r>
    <s v="P066"/>
    <x v="9"/>
    <x v="46"/>
    <x v="10"/>
    <x v="10"/>
    <x v="10"/>
    <x v="0"/>
    <x v="0"/>
    <x v="3"/>
    <x v="9"/>
    <x v="3"/>
    <x v="0"/>
  </r>
  <r>
    <s v="P067"/>
    <x v="37"/>
    <x v="47"/>
    <x v="10"/>
    <x v="0"/>
    <x v="0"/>
    <x v="0"/>
    <x v="0"/>
    <x v="5"/>
    <x v="5"/>
    <x v="1"/>
    <x v="5"/>
  </r>
  <r>
    <s v="P068"/>
    <x v="27"/>
    <x v="47"/>
    <x v="10"/>
    <x v="0"/>
    <x v="0"/>
    <x v="0"/>
    <x v="0"/>
    <x v="5"/>
    <x v="5"/>
    <x v="1"/>
    <x v="1"/>
  </r>
  <r>
    <s v="P069"/>
    <x v="24"/>
    <x v="48"/>
    <x v="10"/>
    <x v="0"/>
    <x v="0"/>
    <x v="0"/>
    <x v="0"/>
    <x v="5"/>
    <x v="5"/>
    <x v="1"/>
    <x v="1"/>
  </r>
  <r>
    <s v="P070"/>
    <x v="14"/>
    <x v="48"/>
    <x v="10"/>
    <x v="0"/>
    <x v="0"/>
    <x v="0"/>
    <x v="0"/>
    <x v="5"/>
    <x v="5"/>
    <x v="1"/>
    <x v="4"/>
  </r>
  <r>
    <s v="P072"/>
    <x v="25"/>
    <x v="49"/>
    <x v="14"/>
    <x v="0"/>
    <x v="0"/>
    <x v="0"/>
    <x v="0"/>
    <x v="1"/>
    <x v="7"/>
    <x v="1"/>
    <x v="5"/>
  </r>
  <r>
    <s v="P073"/>
    <x v="26"/>
    <x v="50"/>
    <x v="14"/>
    <x v="3"/>
    <x v="3"/>
    <x v="0"/>
    <x v="0"/>
    <x v="1"/>
    <x v="5"/>
    <x v="1"/>
    <x v="3"/>
  </r>
  <r>
    <s v="P080"/>
    <x v="25"/>
    <x v="51"/>
    <x v="15"/>
    <x v="0"/>
    <x v="0"/>
    <x v="0"/>
    <x v="0"/>
    <x v="1"/>
    <x v="7"/>
    <x v="1"/>
    <x v="5"/>
  </r>
  <r>
    <s v="P083"/>
    <x v="25"/>
    <x v="52"/>
    <x v="16"/>
    <x v="0"/>
    <x v="0"/>
    <x v="0"/>
    <x v="0"/>
    <x v="1"/>
    <x v="7"/>
    <x v="1"/>
    <x v="5"/>
  </r>
  <r>
    <s v="P016"/>
    <x v="38"/>
    <x v="53"/>
    <x v="13"/>
    <x v="17"/>
    <x v="17"/>
    <x v="1"/>
    <x v="1"/>
    <x v="8"/>
    <x v="0"/>
    <x v="0"/>
    <x v="7"/>
  </r>
  <r>
    <s v="P042"/>
    <x v="2"/>
    <x v="31"/>
    <x v="7"/>
    <x v="10"/>
    <x v="6"/>
    <x v="1"/>
    <x v="2"/>
    <x v="9"/>
    <x v="5"/>
    <x v="1"/>
    <x v="0"/>
  </r>
  <r>
    <s v="P046"/>
    <x v="39"/>
    <x v="54"/>
    <x v="7"/>
    <x v="10"/>
    <x v="2"/>
    <x v="1"/>
    <x v="3"/>
    <x v="10"/>
    <x v="1"/>
    <x v="1"/>
    <x v="6"/>
  </r>
  <r>
    <s v="P065"/>
    <x v="40"/>
    <x v="45"/>
    <x v="10"/>
    <x v="0"/>
    <x v="2"/>
    <x v="1"/>
    <x v="4"/>
    <x v="11"/>
    <x v="1"/>
    <x v="1"/>
    <x v="2"/>
  </r>
  <r>
    <s v="P071"/>
    <x v="13"/>
    <x v="55"/>
    <x v="14"/>
    <x v="0"/>
    <x v="3"/>
    <x v="1"/>
    <x v="5"/>
    <x v="5"/>
    <x v="5"/>
    <x v="1"/>
    <x v="0"/>
  </r>
  <r>
    <s v="P074"/>
    <x v="22"/>
    <x v="56"/>
    <x v="14"/>
    <x v="5"/>
    <x v="3"/>
    <x v="1"/>
    <x v="2"/>
    <x v="4"/>
    <x v="1"/>
    <x v="1"/>
    <x v="5"/>
  </r>
  <r>
    <s v="P075"/>
    <x v="41"/>
    <x v="57"/>
    <x v="14"/>
    <x v="6"/>
    <x v="5"/>
    <x v="1"/>
    <x v="5"/>
    <x v="4"/>
    <x v="5"/>
    <x v="3"/>
    <x v="4"/>
  </r>
  <r>
    <s v="P076"/>
    <x v="6"/>
    <x v="58"/>
    <x v="14"/>
    <x v="6"/>
    <x v="5"/>
    <x v="1"/>
    <x v="5"/>
    <x v="3"/>
    <x v="6"/>
    <x v="1"/>
    <x v="3"/>
  </r>
  <r>
    <s v="P077"/>
    <x v="16"/>
    <x v="58"/>
    <x v="14"/>
    <x v="5"/>
    <x v="3"/>
    <x v="1"/>
    <x v="2"/>
    <x v="3"/>
    <x v="5"/>
    <x v="1"/>
    <x v="3"/>
  </r>
  <r>
    <s v="P078"/>
    <x v="23"/>
    <x v="59"/>
    <x v="14"/>
    <x v="3"/>
    <x v="8"/>
    <x v="1"/>
    <x v="6"/>
    <x v="3"/>
    <x v="1"/>
    <x v="1"/>
    <x v="1"/>
  </r>
  <r>
    <s v="P079"/>
    <x v="42"/>
    <x v="51"/>
    <x v="15"/>
    <x v="0"/>
    <x v="18"/>
    <x v="1"/>
    <x v="7"/>
    <x v="4"/>
    <x v="0"/>
    <x v="1"/>
    <x v="0"/>
  </r>
  <r>
    <s v="P081"/>
    <x v="5"/>
    <x v="60"/>
    <x v="15"/>
    <x v="0"/>
    <x v="19"/>
    <x v="1"/>
    <x v="8"/>
    <x v="11"/>
    <x v="1"/>
    <x v="1"/>
    <x v="0"/>
  </r>
  <r>
    <s v="P082"/>
    <x v="43"/>
    <x v="60"/>
    <x v="15"/>
    <x v="5"/>
    <x v="3"/>
    <x v="1"/>
    <x v="2"/>
    <x v="3"/>
    <x v="5"/>
    <x v="1"/>
    <x v="4"/>
  </r>
  <r>
    <s v="P084"/>
    <x v="16"/>
    <x v="52"/>
    <x v="16"/>
    <x v="5"/>
    <x v="19"/>
    <x v="1"/>
    <x v="5"/>
    <x v="3"/>
    <x v="5"/>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0CC00A-4B5C-4E23-BF53-07268E42DADA}" name="PivotTable4" cacheId="80" applyNumberFormats="0" applyBorderFormats="0" applyFontFormats="0" applyPatternFormats="0" applyAlignmentFormats="0" applyWidthHeightFormats="1" dataCaption="Values" grandTotalCaption="Total Deductions" tag="5f422541-8c91-4bc4-a65c-6a4c5dbde7b3" updatedVersion="8" minRefreshableVersion="3" showDrill="0" enableDrill="0" useAutoFormatting="1" subtotalHiddenItems="1" colGrandTotals="0" itemPrintTitles="1" createdVersion="8" indent="0" compact="0" compactData="0" multipleFieldFilters="0">
  <location ref="B5:K56" firstHeaderRow="1" firstDataRow="2" firstDataCol="5" rowPageCount="2" colPageCount="1"/>
  <pivotFields count="10">
    <pivotField axis="axisPage" compact="0" allDrilled="1" outline="0" subtotalTop="0" showAll="0" dataSourceSort="1" defaultSubtotal="0" defaultAttributeDrillState="1"/>
    <pivotField name="Employee" axis="axisRow" compact="0" allDrilled="1" outline="0"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name="Loan"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axis="axisPage" compact="0" allDrilled="1" outline="0" subtotalTop="0" showAll="0" dataSourceSort="1" defaultSubtotal="0" defaultAttributeDrillState="1"/>
    <pivotField name="Site" axis="axisRow" compact="0" allDrilled="1" outline="0" subtotalTop="0" showAll="0" defaultAttributeDrillState="1">
      <items count="9">
        <item x="0"/>
        <item x="4"/>
        <item x="1"/>
        <item x="3"/>
        <item x="2"/>
        <item x="5"/>
        <item x="7"/>
        <item x="6"/>
        <item t="default"/>
      </items>
    </pivotField>
    <pivotField name="Salary Month" axis="axisCol" compact="0" allDrilled="1" outline="0" subtotalTop="0" showAll="0" dataSourceSort="1" defaultSubtotal="0" defaultAttributeDrillState="1">
      <items count="14">
        <item x="0"/>
        <item x="1"/>
        <item x="2"/>
        <item x="3"/>
        <item x="4"/>
        <item x="5"/>
        <item x="6"/>
        <item x="7"/>
        <item x="8"/>
        <item x="9"/>
        <item x="10"/>
        <item x="11"/>
        <item x="12"/>
        <item x="13"/>
      </items>
    </pivotField>
    <pivotField name="Loan Date" axis="axisRow" compact="0" allDrilled="1" outline="0"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compact="0" allDrilled="1" outline="0" subtotalTop="0" showAll="0" dataSourceSort="1" defaultSubtotal="0" defaultAttributeDrillState="1">
      <items count="9">
        <item x="0"/>
        <item x="1"/>
        <item x="2"/>
        <item x="3"/>
        <item x="4"/>
        <item x="5"/>
        <item x="6"/>
        <item x="7"/>
        <item x="8"/>
      </items>
    </pivotField>
    <pivotField compact="0" allDrilled="1" outline="0" subtotalTop="0" showAll="0" dataSourceSort="1" defaultSubtotal="0" defaultAttributeDrillState="1"/>
  </pivotFields>
  <rowFields count="5">
    <field x="5"/>
    <field x="1"/>
    <field x="8"/>
    <field x="7"/>
    <field x="2"/>
  </rowFields>
  <rowItems count="50">
    <i>
      <x/>
      <x/>
      <x/>
      <x/>
      <x/>
    </i>
    <i r="1">
      <x v="1"/>
      <x v="1"/>
      <x v="1"/>
      <x v="1"/>
    </i>
    <i t="default">
      <x/>
    </i>
    <i>
      <x v="1"/>
      <x v="20"/>
      <x v="7"/>
      <x v="2"/>
      <x v="4"/>
    </i>
    <i r="1">
      <x v="21"/>
      <x v="1"/>
      <x v="21"/>
      <x v="8"/>
    </i>
    <i t="default">
      <x v="1"/>
    </i>
    <i>
      <x v="2"/>
      <x v="2"/>
      <x v="1"/>
      <x v="2"/>
      <x/>
    </i>
    <i r="1">
      <x v="3"/>
      <x v="1"/>
      <x v="3"/>
      <x v="2"/>
    </i>
    <i r="1">
      <x v="4"/>
      <x v="1"/>
      <x v="4"/>
      <x/>
    </i>
    <i r="1">
      <x v="5"/>
      <x v="1"/>
      <x v="5"/>
      <x v="3"/>
    </i>
    <i r="2">
      <x v="2"/>
      <x v="6"/>
      <x v="4"/>
    </i>
    <i r="1">
      <x v="6"/>
      <x v="3"/>
      <x v="7"/>
      <x v="4"/>
    </i>
    <i r="1">
      <x v="7"/>
      <x v="4"/>
      <x v="8"/>
      <x/>
    </i>
    <i r="1">
      <x v="8"/>
      <x v="1"/>
      <x v="2"/>
      <x v="5"/>
    </i>
    <i r="1">
      <x v="9"/>
      <x v="5"/>
      <x v="9"/>
      <x v="4"/>
    </i>
    <i t="default">
      <x v="2"/>
    </i>
    <i>
      <x v="3"/>
      <x v="13"/>
      <x v="1"/>
      <x v="14"/>
      <x v="4"/>
    </i>
    <i r="3">
      <x v="15"/>
      <x v="4"/>
    </i>
    <i r="1">
      <x v="14"/>
      <x v="1"/>
      <x v="16"/>
      <x/>
    </i>
    <i r="1">
      <x v="15"/>
      <x v="1"/>
      <x v="16"/>
      <x v="7"/>
    </i>
    <i r="1">
      <x v="16"/>
      <x v="1"/>
      <x v="17"/>
      <x v="6"/>
    </i>
    <i r="1">
      <x v="17"/>
      <x v="1"/>
      <x v="8"/>
      <x/>
    </i>
    <i r="1">
      <x v="18"/>
      <x v="1"/>
      <x v="18"/>
      <x v="1"/>
    </i>
    <i r="2">
      <x v="6"/>
      <x v="19"/>
      <x v="6"/>
    </i>
    <i r="1">
      <x v="19"/>
      <x v="1"/>
      <x v="20"/>
      <x v="4"/>
    </i>
    <i t="default">
      <x v="3"/>
    </i>
    <i>
      <x v="4"/>
      <x v="10"/>
      <x v="1"/>
      <x v="10"/>
      <x v="4"/>
    </i>
    <i r="2">
      <x v="2"/>
      <x v="11"/>
      <x v="3"/>
    </i>
    <i r="1">
      <x v="11"/>
      <x v="1"/>
      <x v="12"/>
      <x v="1"/>
    </i>
    <i r="2">
      <x v="4"/>
      <x v="11"/>
      <x v="1"/>
    </i>
    <i r="1">
      <x v="12"/>
      <x v="1"/>
      <x v="10"/>
      <x v="1"/>
    </i>
    <i r="3">
      <x v="13"/>
      <x v="6"/>
    </i>
    <i t="default">
      <x v="4"/>
    </i>
    <i>
      <x v="5"/>
      <x v="22"/>
      <x v="1"/>
      <x v="15"/>
      <x v="4"/>
    </i>
    <i r="1">
      <x v="23"/>
      <x v="1"/>
      <x v="22"/>
      <x v="4"/>
    </i>
    <i r="3">
      <x v="23"/>
      <x v="4"/>
    </i>
    <i r="3">
      <x v="9"/>
      <x v="4"/>
    </i>
    <i r="3">
      <x v="24"/>
      <x v="4"/>
    </i>
    <i r="1">
      <x v="24"/>
      <x v="1"/>
      <x v="25"/>
      <x v="9"/>
    </i>
    <i r="2">
      <x v="4"/>
      <x v="26"/>
      <x v="1"/>
    </i>
    <i t="default">
      <x v="5"/>
    </i>
    <i>
      <x v="6"/>
      <x v="26"/>
      <x v="1"/>
      <x v="17"/>
      <x v="1"/>
    </i>
    <i r="1">
      <x v="27"/>
      <x v="1"/>
      <x v="20"/>
      <x v="4"/>
    </i>
    <i r="1">
      <x v="28"/>
      <x v="1"/>
      <x v="28"/>
      <x v="11"/>
    </i>
    <i r="1">
      <x v="29"/>
      <x v="4"/>
      <x v="7"/>
      <x v="1"/>
    </i>
    <i r="1">
      <x v="30"/>
      <x v="2"/>
      <x v="29"/>
      <x v="3"/>
    </i>
    <i t="default">
      <x v="6"/>
    </i>
    <i>
      <x v="7"/>
      <x v="25"/>
      <x v="8"/>
      <x v="27"/>
      <x v="10"/>
    </i>
    <i t="default">
      <x v="7"/>
    </i>
    <i t="grand">
      <x/>
    </i>
  </rowItems>
  <colFields count="1">
    <field x="6"/>
  </colFields>
  <colItems count="5">
    <i>
      <x/>
    </i>
    <i>
      <x v="1"/>
    </i>
    <i>
      <x v="2"/>
    </i>
    <i>
      <x v="3"/>
    </i>
    <i>
      <x v="4"/>
    </i>
  </colItems>
  <pageFields count="2">
    <pageField fld="0" hier="17" name="[Pinjaman].[Status].[All]" cap="All"/>
    <pageField fld="4" hier="25" name="[Pinjaman].[Tanggal Pinjaman (Month)].[All]" cap="All"/>
  </pageFields>
  <dataFields count="1">
    <dataField name=" " fld="3" baseField="0" baseItem="0" numFmtId="3"/>
  </dataFields>
  <formats count="260">
    <format dxfId="1099">
      <pivotArea dataOnly="0" labelOnly="1" fieldPosition="0">
        <references count="1">
          <reference field="2" count="0"/>
        </references>
      </pivotArea>
    </format>
    <format dxfId="1098">
      <pivotArea dataOnly="0" labelOnly="1" fieldPosition="0">
        <references count="1">
          <reference field="2" count="0"/>
        </references>
      </pivotArea>
    </format>
    <format dxfId="1097">
      <pivotArea dataOnly="0" labelOnly="1" fieldPosition="0">
        <references count="1">
          <reference field="2" count="0"/>
        </references>
      </pivotArea>
    </format>
    <format dxfId="1096">
      <pivotArea dataOnly="0" labelOnly="1" fieldPosition="0">
        <references count="1">
          <reference field="2" count="0"/>
        </references>
      </pivotArea>
    </format>
    <format dxfId="1095">
      <pivotArea dataOnly="0" labelOnly="1" fieldPosition="0">
        <references count="1">
          <reference field="2" count="0"/>
        </references>
      </pivotArea>
    </format>
    <format dxfId="1094">
      <pivotArea dataOnly="0" labelOnly="1" fieldPosition="0">
        <references count="1">
          <reference field="1" count="0"/>
        </references>
      </pivotArea>
    </format>
    <format dxfId="1093">
      <pivotArea dataOnly="0" labelOnly="1" fieldPosition="0">
        <references count="1">
          <reference field="1" count="0"/>
        </references>
      </pivotArea>
    </format>
    <format dxfId="1092">
      <pivotArea type="all" dataOnly="0" outline="0" fieldPosition="0"/>
    </format>
    <format dxfId="1091">
      <pivotArea dataOnly="0" labelOnly="1" fieldPosition="0">
        <references count="1">
          <reference field="6" count="0"/>
        </references>
      </pivotArea>
    </format>
    <format dxfId="1090">
      <pivotArea dataOnly="0" labelOnly="1" outline="0" fieldPosition="0">
        <references count="1">
          <reference field="7" count="0"/>
        </references>
      </pivotArea>
    </format>
    <format dxfId="1089">
      <pivotArea dataOnly="0" labelOnly="1" outline="0" fieldPosition="0">
        <references count="1">
          <reference field="8" count="0"/>
        </references>
      </pivotArea>
    </format>
    <format dxfId="1088">
      <pivotArea dataOnly="0" labelOnly="1" outline="0" fieldPosition="0">
        <references count="1">
          <reference field="8" count="0"/>
        </references>
      </pivotArea>
    </format>
    <format dxfId="1087">
      <pivotArea type="origin" dataOnly="0" labelOnly="1" outline="0" fieldPosition="0"/>
    </format>
    <format dxfId="1086">
      <pivotArea field="6" type="button" dataOnly="0" labelOnly="1" outline="0" axis="axisCol" fieldPosition="0"/>
    </format>
    <format dxfId="1085">
      <pivotArea type="topRight" dataOnly="0" labelOnly="1" outline="0" fieldPosition="0"/>
    </format>
    <format dxfId="1084">
      <pivotArea field="1" type="button" dataOnly="0" labelOnly="1" outline="0" axis="axisRow" fieldPosition="1"/>
    </format>
    <format dxfId="1083">
      <pivotArea field="7" type="button" dataOnly="0" labelOnly="1" outline="0" axis="axisRow" fieldPosition="3"/>
    </format>
    <format dxfId="1082">
      <pivotArea field="2" type="button" dataOnly="0" labelOnly="1" outline="0" axis="axisRow" fieldPosition="4"/>
    </format>
    <format dxfId="1081">
      <pivotArea field="8" type="button" dataOnly="0" labelOnly="1" outline="0" axis="axisRow" fieldPosition="2"/>
    </format>
    <format dxfId="1080">
      <pivotArea dataOnly="0" labelOnly="1" outline="0" fieldPosition="0">
        <references count="1">
          <reference field="6" count="0"/>
        </references>
      </pivotArea>
    </format>
    <format dxfId="1079">
      <pivotArea dataOnly="0" labelOnly="1" outline="0" fieldPosition="0">
        <references count="1">
          <reference field="2" count="0"/>
        </references>
      </pivotArea>
    </format>
    <format dxfId="1078">
      <pivotArea dataOnly="0" labelOnly="1" outline="0" fieldPosition="0">
        <references count="1">
          <reference field="8" count="0"/>
        </references>
      </pivotArea>
    </format>
    <format dxfId="1077">
      <pivotArea outline="0" collapsedLevelsAreSubtotals="1" fieldPosition="0"/>
    </format>
    <format dxfId="1076">
      <pivotArea dataOnly="0" labelOnly="1" outline="0" fieldPosition="0">
        <references count="1">
          <reference field="2" count="0"/>
        </references>
      </pivotArea>
    </format>
    <format dxfId="1075">
      <pivotArea dataOnly="0" labelOnly="1" outline="0" fieldPosition="0">
        <references count="1">
          <reference field="8" count="0"/>
        </references>
      </pivotArea>
    </format>
    <format dxfId="1074">
      <pivotArea dataOnly="0" labelOnly="1" outline="0" fieldPosition="0">
        <references count="1">
          <reference field="1" count="0"/>
        </references>
      </pivotArea>
    </format>
    <format dxfId="1073">
      <pivotArea dataOnly="0" labelOnly="1" outline="0" fieldPosition="0">
        <references count="1">
          <reference field="5" count="0"/>
        </references>
      </pivotArea>
    </format>
    <format dxfId="1072">
      <pivotArea dataOnly="0" outline="0" fieldPosition="0">
        <references count="1">
          <reference field="5" count="0" defaultSubtotal="1"/>
        </references>
      </pivotArea>
    </format>
    <format dxfId="1071">
      <pivotArea dataOnly="0" outline="0" fieldPosition="0">
        <references count="1">
          <reference field="5" count="0" defaultSubtotal="1"/>
        </references>
      </pivotArea>
    </format>
    <format dxfId="1070">
      <pivotArea outline="0" fieldPosition="0">
        <references count="6">
          <reference field="1" count="1" selected="0">
            <x v="4"/>
          </reference>
          <reference field="2" count="1" selected="0">
            <x v="7"/>
          </reference>
          <reference field="5" count="1" selected="0">
            <x v="2"/>
          </reference>
          <reference field="6" count="3" selected="0">
            <x v="5"/>
            <x v="6"/>
            <x v="7"/>
          </reference>
          <reference field="7" count="1" selected="0">
            <x v="36"/>
          </reference>
          <reference field="8" count="1" selected="0">
            <x v="1"/>
          </reference>
        </references>
      </pivotArea>
    </format>
    <format dxfId="1069">
      <pivotArea outline="0" fieldPosition="0">
        <references count="6">
          <reference field="1" count="1" selected="0">
            <x v="4"/>
          </reference>
          <reference field="2" count="1" selected="0">
            <x v="7"/>
          </reference>
          <reference field="5" count="1" selected="0">
            <x v="2"/>
          </reference>
          <reference field="6" count="3" selected="0">
            <x v="9"/>
            <x v="10"/>
            <x v="11"/>
          </reference>
          <reference field="7" count="1" selected="0">
            <x v="36"/>
          </reference>
          <reference field="8" count="1" selected="0">
            <x v="1"/>
          </reference>
        </references>
      </pivotArea>
    </format>
    <format dxfId="1068">
      <pivotArea outline="0" fieldPosition="0">
        <references count="6">
          <reference field="1" count="1" selected="0">
            <x v="4"/>
          </reference>
          <reference field="2" count="2" selected="0">
            <x v="1"/>
            <x v="7"/>
          </reference>
          <reference field="5" count="1" selected="0">
            <x v="2"/>
          </reference>
          <reference field="6" count="2" selected="0">
            <x v="12"/>
            <x v="13"/>
          </reference>
          <reference field="7" count="2" selected="0">
            <x v="36"/>
            <x v="37"/>
          </reference>
          <reference field="8" count="1" selected="0">
            <x v="1"/>
          </reference>
        </references>
      </pivotArea>
    </format>
    <format dxfId="1067">
      <pivotArea outline="0" fieldPosition="0">
        <references count="6">
          <reference field="1" count="1" selected="0">
            <x v="4"/>
          </reference>
          <reference field="2" count="3" selected="0">
            <x v="1"/>
            <x v="6"/>
            <x v="7"/>
          </reference>
          <reference field="5" count="1" selected="0">
            <x v="2"/>
          </reference>
          <reference field="6" count="3" selected="0">
            <x v="0"/>
            <x v="1"/>
            <x v="2"/>
          </reference>
          <reference field="7" count="3" selected="0">
            <x v="36"/>
            <x v="37"/>
            <x v="38"/>
          </reference>
          <reference field="8" count="1" selected="0">
            <x v="1"/>
          </reference>
        </references>
      </pivotArea>
    </format>
    <format dxfId="1066">
      <pivotArea outline="0" fieldPosition="0">
        <references count="6">
          <reference field="1" count="1" selected="0">
            <x v="4"/>
          </reference>
          <reference field="2" count="1" selected="0">
            <x v="1"/>
          </reference>
          <reference field="5" count="1" selected="0">
            <x v="2"/>
          </reference>
          <reference field="6" count="5" selected="0">
            <x v="5"/>
            <x v="6"/>
            <x v="7"/>
            <x v="8"/>
            <x v="9"/>
          </reference>
          <reference field="7" count="1" selected="0">
            <x v="37"/>
          </reference>
          <reference field="8" count="1" selected="0">
            <x v="1"/>
          </reference>
        </references>
      </pivotArea>
    </format>
    <format dxfId="1065">
      <pivotArea outline="0" fieldPosition="0">
        <references count="6">
          <reference field="1" count="1" selected="0">
            <x v="4"/>
          </reference>
          <reference field="2" count="1" selected="0">
            <x v="6"/>
          </reference>
          <reference field="5" count="1" selected="0">
            <x v="2"/>
          </reference>
          <reference field="6" count="8" selected="0">
            <x v="5"/>
            <x v="6"/>
            <x v="7"/>
            <x v="8"/>
            <x v="9"/>
            <x v="10"/>
            <x v="11"/>
            <x v="12"/>
          </reference>
          <reference field="7" count="1" selected="0">
            <x v="38"/>
          </reference>
          <reference field="8" count="1" selected="0">
            <x v="1"/>
          </reference>
        </references>
      </pivotArea>
    </format>
    <format dxfId="1064">
      <pivotArea outline="0" fieldPosition="0">
        <references count="6">
          <reference field="1" count="1" selected="0">
            <x v="4"/>
          </reference>
          <reference field="2" count="1" selected="0">
            <x v="0"/>
          </reference>
          <reference field="5" count="1" selected="0">
            <x v="2"/>
          </reference>
          <reference field="6" count="10" selected="0">
            <x v="0"/>
            <x v="5"/>
            <x v="6"/>
            <x v="7"/>
            <x v="8"/>
            <x v="9"/>
            <x v="10"/>
            <x v="11"/>
            <x v="12"/>
            <x v="13"/>
          </reference>
          <reference field="7" count="1" selected="0">
            <x v="4"/>
          </reference>
          <reference field="8" count="1" selected="0">
            <x v="1"/>
          </reference>
        </references>
      </pivotArea>
    </format>
    <format dxfId="1063">
      <pivotArea outline="0" fieldPosition="0">
        <references count="6">
          <reference field="1" count="1" selected="0">
            <x v="4"/>
          </reference>
          <reference field="2" count="4" selected="0">
            <x v="0"/>
            <x v="1"/>
            <x v="6"/>
            <x v="7"/>
          </reference>
          <reference field="5" count="1" selected="0">
            <x v="2"/>
          </reference>
          <reference field="6" count="1" selected="0">
            <x v="3"/>
          </reference>
          <reference field="7" count="4" selected="0">
            <x v="4"/>
            <x v="36"/>
            <x v="37"/>
            <x v="38"/>
          </reference>
          <reference field="8" count="1" selected="0">
            <x v="1"/>
          </reference>
        </references>
      </pivotArea>
    </format>
    <format dxfId="1062">
      <pivotArea outline="0" fieldPosition="0">
        <references count="6">
          <reference field="1" count="1" selected="0">
            <x v="39"/>
          </reference>
          <reference field="2" count="1" selected="0">
            <x v="1"/>
          </reference>
          <reference field="5" count="1" selected="0">
            <x v="1048832"/>
          </reference>
          <reference field="6" count="6" selected="0">
            <x v="5"/>
            <x v="6"/>
            <x v="7"/>
            <x v="8"/>
            <x v="9"/>
            <x v="10"/>
          </reference>
          <reference field="7" count="1" selected="0">
            <x v="5"/>
          </reference>
          <reference field="8" count="1" selected="0">
            <x v="1"/>
          </reference>
        </references>
      </pivotArea>
    </format>
    <format dxfId="1061">
      <pivotArea outline="0" fieldPosition="0">
        <references count="6">
          <reference field="1" count="1" selected="0">
            <x v="39"/>
          </reference>
          <reference field="2" count="1" selected="0">
            <x v="1"/>
          </reference>
          <reference field="5" count="1" selected="0">
            <x v="1048832"/>
          </reference>
          <reference field="6" count="2" selected="0">
            <x v="1"/>
            <x v="2"/>
          </reference>
          <reference field="7" count="1" selected="0">
            <x v="5"/>
          </reference>
          <reference field="8" count="1" selected="0">
            <x v="1"/>
          </reference>
        </references>
      </pivotArea>
    </format>
    <format dxfId="1060">
      <pivotArea outline="0" fieldPosition="0">
        <references count="6">
          <reference field="1" count="1" selected="0">
            <x v="39"/>
          </reference>
          <reference field="2" count="3" selected="0">
            <x v="1"/>
            <x v="6"/>
            <x v="9"/>
          </reference>
          <reference field="5" count="1" selected="0">
            <x v="1048832"/>
          </reference>
          <reference field="6" count="1" selected="0">
            <x v="0"/>
          </reference>
          <reference field="7" count="3" selected="0">
            <x v="5"/>
            <x v="17"/>
            <x v="54"/>
          </reference>
          <reference field="8" count="1" selected="0">
            <x v="1"/>
          </reference>
        </references>
      </pivotArea>
    </format>
    <format dxfId="1059">
      <pivotArea outline="0" fieldPosition="0">
        <references count="6">
          <reference field="1" count="1" selected="0">
            <x v="39"/>
          </reference>
          <reference field="2" count="6" selected="0">
            <x v="0"/>
            <x v="1"/>
            <x v="4"/>
            <x v="6"/>
            <x v="7"/>
            <x v="9"/>
          </reference>
          <reference field="5" count="1" selected="0">
            <x v="1048832"/>
          </reference>
          <reference field="6" count="1" selected="0">
            <x v="3"/>
          </reference>
          <reference field="7" count="8" selected="0">
            <x v="5"/>
            <x v="14"/>
            <x v="15"/>
            <x v="16"/>
            <x v="17"/>
            <x v="48"/>
            <x v="51"/>
            <x v="54"/>
          </reference>
          <reference field="8" count="1" selected="0">
            <x v="1"/>
          </reference>
        </references>
      </pivotArea>
    </format>
    <format dxfId="1058">
      <pivotArea outline="0" fieldPosition="0">
        <references count="6">
          <reference field="1" count="1" selected="0">
            <x v="22"/>
          </reference>
          <reference field="2" count="1" selected="0">
            <x v="4"/>
          </reference>
          <reference field="5" count="1" selected="0">
            <x v="5"/>
          </reference>
          <reference field="6" count="9" selected="0">
            <x v="5"/>
            <x v="6"/>
            <x v="7"/>
            <x v="8"/>
            <x v="9"/>
            <x v="10"/>
            <x v="11"/>
            <x v="12"/>
            <x v="13"/>
          </reference>
          <reference field="7" count="1" selected="0">
            <x v="15"/>
          </reference>
          <reference field="8" count="1" selected="0">
            <x v="4"/>
          </reference>
        </references>
      </pivotArea>
    </format>
    <format dxfId="1057">
      <pivotArea outline="0" fieldPosition="0">
        <references count="6">
          <reference field="1" count="1" selected="0">
            <x v="22"/>
          </reference>
          <reference field="2" count="4" selected="0">
            <x v="1"/>
            <x v="4"/>
            <x v="6"/>
            <x v="9"/>
          </reference>
          <reference field="5" count="1" selected="0">
            <x v="5"/>
          </reference>
          <reference field="6" count="1" selected="0">
            <x v="0"/>
          </reference>
          <reference field="7" count="4" selected="0">
            <x v="15"/>
            <x v="25"/>
            <x v="26"/>
            <x v="48"/>
          </reference>
          <reference field="8" count="3" selected="0">
            <x v="1"/>
            <x v="4"/>
            <x v="7"/>
          </reference>
        </references>
      </pivotArea>
    </format>
    <format dxfId="1056">
      <pivotArea outline="0" fieldPosition="0">
        <references count="6">
          <reference field="1" count="1" selected="0">
            <x v="29"/>
          </reference>
          <reference field="2" count="1" selected="0">
            <x v="1"/>
          </reference>
          <reference field="5" count="1" selected="0">
            <x v="6"/>
          </reference>
          <reference field="6" count="12" selected="0">
            <x v="0"/>
            <x v="1"/>
            <x v="2"/>
            <x v="5"/>
            <x v="6"/>
            <x v="7"/>
            <x v="8"/>
            <x v="9"/>
            <x v="10"/>
            <x v="11"/>
            <x v="12"/>
            <x v="13"/>
          </reference>
          <reference field="7" count="1" selected="0">
            <x v="7"/>
          </reference>
          <reference field="8" count="1" selected="0">
            <x v="2"/>
          </reference>
        </references>
      </pivotArea>
    </format>
    <format dxfId="1055">
      <pivotArea outline="0" fieldPosition="0">
        <references count="6">
          <reference field="1" count="1" selected="0">
            <x v="30"/>
          </reference>
          <reference field="2" count="1" selected="0">
            <x v="3"/>
          </reference>
          <reference field="5" count="1" selected="0">
            <x v="6"/>
          </reference>
          <reference field="6" count="11" selected="0">
            <x v="0"/>
            <x v="1"/>
            <x v="5"/>
            <x v="6"/>
            <x v="7"/>
            <x v="8"/>
            <x v="9"/>
            <x v="10"/>
            <x v="11"/>
            <x v="12"/>
            <x v="13"/>
          </reference>
          <reference field="7" count="1" selected="0">
            <x v="29"/>
          </reference>
          <reference field="8" count="1" selected="0">
            <x v="3"/>
          </reference>
        </references>
      </pivotArea>
    </format>
    <format dxfId="1054">
      <pivotArea outline="0" fieldPosition="0">
        <references count="6">
          <reference field="1" count="1" selected="0">
            <x v="42"/>
          </reference>
          <reference field="2" count="1" selected="0">
            <x v="17"/>
          </reference>
          <reference field="5" count="1" selected="0">
            <x v="6"/>
          </reference>
          <reference field="6" count="6" selected="0">
            <x v="5"/>
            <x v="6"/>
            <x v="7"/>
            <x v="8"/>
            <x v="9"/>
            <x v="10"/>
          </reference>
          <reference field="7" count="1" selected="0">
            <x v="47"/>
          </reference>
          <reference field="8" count="1" selected="0">
            <x v="1"/>
          </reference>
        </references>
      </pivotArea>
    </format>
    <format dxfId="1053">
      <pivotArea outline="0" fieldPosition="0">
        <references count="6">
          <reference field="1" count="1" selected="0">
            <x v="42"/>
          </reference>
          <reference field="2" count="1" selected="0">
            <x v="17"/>
          </reference>
          <reference field="5" count="1" selected="0">
            <x v="6"/>
          </reference>
          <reference field="6" count="6" selected="0">
            <x v="0"/>
            <x v="1"/>
            <x v="2"/>
            <x v="3"/>
            <x v="12"/>
            <x v="13"/>
          </reference>
          <reference field="7" count="1" selected="0">
            <x v="47"/>
          </reference>
          <reference field="8" count="1" selected="0">
            <x v="1"/>
          </reference>
        </references>
      </pivotArea>
    </format>
    <format dxfId="1052">
      <pivotArea outline="0" fieldPosition="0">
        <references count="6">
          <reference field="1" count="1" selected="0">
            <x v="39"/>
          </reference>
          <reference field="2" count="1" selected="0">
            <x v="1"/>
          </reference>
          <reference field="5" count="1" selected="0">
            <x v="1048832"/>
          </reference>
          <reference field="6" count="6" selected="0">
            <x v="5"/>
            <x v="6"/>
            <x v="7"/>
            <x v="8"/>
            <x v="9"/>
            <x v="10"/>
          </reference>
          <reference field="7" count="1" selected="0">
            <x v="5"/>
          </reference>
          <reference field="8" count="1" selected="0">
            <x v="1"/>
          </reference>
        </references>
      </pivotArea>
    </format>
    <format dxfId="1051">
      <pivotArea outline="0" fieldPosition="0">
        <references count="6">
          <reference field="1" count="1" selected="0">
            <x v="39"/>
          </reference>
          <reference field="2" count="1" selected="0">
            <x v="1"/>
          </reference>
          <reference field="5" count="1" selected="0">
            <x v="1048832"/>
          </reference>
          <reference field="6" count="2" selected="0">
            <x v="1"/>
            <x v="2"/>
          </reference>
          <reference field="7" count="1" selected="0">
            <x v="5"/>
          </reference>
          <reference field="8" count="1" selected="0">
            <x v="1"/>
          </reference>
        </references>
      </pivotArea>
    </format>
    <format dxfId="1050">
      <pivotArea outline="0" fieldPosition="0">
        <references count="6">
          <reference field="1" count="1" selected="0">
            <x v="39"/>
          </reference>
          <reference field="2" count="3" selected="0">
            <x v="1"/>
            <x v="6"/>
            <x v="9"/>
          </reference>
          <reference field="5" count="1" selected="0">
            <x v="1048832"/>
          </reference>
          <reference field="6" count="1" selected="0">
            <x v="0"/>
          </reference>
          <reference field="7" count="3" selected="0">
            <x v="5"/>
            <x v="17"/>
            <x v="54"/>
          </reference>
          <reference field="8" count="1" selected="0">
            <x v="1"/>
          </reference>
        </references>
      </pivotArea>
    </format>
    <format dxfId="1049">
      <pivotArea outline="0" fieldPosition="0">
        <references count="6">
          <reference field="1" count="1" selected="0">
            <x v="39"/>
          </reference>
          <reference field="2" count="6" selected="0">
            <x v="0"/>
            <x v="1"/>
            <x v="4"/>
            <x v="6"/>
            <x v="7"/>
            <x v="9"/>
          </reference>
          <reference field="5" count="1" selected="0">
            <x v="1048832"/>
          </reference>
          <reference field="6" count="1" selected="0">
            <x v="3"/>
          </reference>
          <reference field="7" count="8" selected="0">
            <x v="5"/>
            <x v="14"/>
            <x v="15"/>
            <x v="16"/>
            <x v="17"/>
            <x v="48"/>
            <x v="51"/>
            <x v="54"/>
          </reference>
          <reference field="8" count="1" selected="0">
            <x v="1"/>
          </reference>
        </references>
      </pivotArea>
    </format>
    <format dxfId="1048">
      <pivotArea dataOnly="0" labelOnly="1" outline="0" fieldPosition="0">
        <references count="1">
          <reference field="5" count="0"/>
        </references>
      </pivotArea>
    </format>
    <format dxfId="1047">
      <pivotArea dataOnly="0" labelOnly="1" outline="0" fieldPosition="0">
        <references count="1">
          <reference field="5" count="0"/>
        </references>
      </pivotArea>
    </format>
    <format dxfId="1046">
      <pivotArea dataOnly="0" labelOnly="1" outline="0" fieldPosition="0">
        <references count="1">
          <reference field="1" count="0"/>
        </references>
      </pivotArea>
    </format>
    <format dxfId="1045">
      <pivotArea dataOnly="0" labelOnly="1" outline="0" fieldPosition="0">
        <references count="1">
          <reference field="7" count="0"/>
        </references>
      </pivotArea>
    </format>
    <format dxfId="1044">
      <pivotArea dataOnly="0" labelOnly="1" outline="0" fieldPosition="0">
        <references count="1">
          <reference field="2" count="0"/>
        </references>
      </pivotArea>
    </format>
    <format dxfId="1043">
      <pivotArea dataOnly="0" labelOnly="1" outline="0" fieldPosition="0">
        <references count="1">
          <reference field="5" count="0"/>
        </references>
      </pivotArea>
    </format>
    <format dxfId="1042">
      <pivotArea outline="0" fieldPosition="0">
        <references count="6">
          <reference field="1" count="1" selected="0">
            <x v="22"/>
          </reference>
          <reference field="2" count="1" selected="0">
            <x v="4"/>
          </reference>
          <reference field="5" count="1" selected="0">
            <x v="5"/>
          </reference>
          <reference field="6" count="9" selected="0">
            <x v="5"/>
            <x v="6"/>
            <x v="7"/>
            <x v="8"/>
            <x v="9"/>
            <x v="10"/>
            <x v="11"/>
            <x v="12"/>
            <x v="13"/>
          </reference>
          <reference field="7" count="1" selected="0">
            <x v="15"/>
          </reference>
          <reference field="8" count="1" selected="0">
            <x v="4"/>
          </reference>
        </references>
      </pivotArea>
    </format>
    <format dxfId="1041">
      <pivotArea outline="0" fieldPosition="0">
        <references count="6">
          <reference field="1" count="1" selected="0">
            <x v="22"/>
          </reference>
          <reference field="2" count="4" selected="0">
            <x v="1"/>
            <x v="4"/>
            <x v="6"/>
            <x v="9"/>
          </reference>
          <reference field="5" count="1" selected="0">
            <x v="5"/>
          </reference>
          <reference field="6" count="1" selected="0">
            <x v="0"/>
          </reference>
          <reference field="7" count="4" selected="0">
            <x v="15"/>
            <x v="25"/>
            <x v="26"/>
            <x v="48"/>
          </reference>
          <reference field="8" count="3" selected="0">
            <x v="1"/>
            <x v="4"/>
            <x v="7"/>
          </reference>
        </references>
      </pivotArea>
    </format>
    <format dxfId="1040">
      <pivotArea outline="0" fieldPosition="0">
        <references count="6">
          <reference field="1" count="1" selected="0">
            <x v="29"/>
          </reference>
          <reference field="2" count="1" selected="0">
            <x v="1"/>
          </reference>
          <reference field="5" count="1" selected="0">
            <x v="6"/>
          </reference>
          <reference field="6" count="12" selected="0">
            <x v="0"/>
            <x v="1"/>
            <x v="2"/>
            <x v="5"/>
            <x v="6"/>
            <x v="7"/>
            <x v="8"/>
            <x v="9"/>
            <x v="10"/>
            <x v="11"/>
            <x v="12"/>
            <x v="13"/>
          </reference>
          <reference field="7" count="1" selected="0">
            <x v="7"/>
          </reference>
          <reference field="8" count="1" selected="0">
            <x v="2"/>
          </reference>
        </references>
      </pivotArea>
    </format>
    <format dxfId="1039">
      <pivotArea outline="0" fieldPosition="0">
        <references count="6">
          <reference field="1" count="1" selected="0">
            <x v="30"/>
          </reference>
          <reference field="2" count="1" selected="0">
            <x v="3"/>
          </reference>
          <reference field="5" count="1" selected="0">
            <x v="6"/>
          </reference>
          <reference field="6" count="11" selected="0">
            <x v="0"/>
            <x v="1"/>
            <x v="5"/>
            <x v="6"/>
            <x v="7"/>
            <x v="8"/>
            <x v="9"/>
            <x v="10"/>
            <x v="11"/>
            <x v="12"/>
            <x v="13"/>
          </reference>
          <reference field="7" count="1" selected="0">
            <x v="29"/>
          </reference>
          <reference field="8" count="1" selected="0">
            <x v="3"/>
          </reference>
        </references>
      </pivotArea>
    </format>
    <format dxfId="1038">
      <pivotArea outline="0" fieldPosition="0">
        <references count="6">
          <reference field="1" count="1" selected="0">
            <x v="4"/>
          </reference>
          <reference field="2" count="2" selected="0">
            <x v="0"/>
            <x v="5"/>
          </reference>
          <reference field="5" count="1" selected="0">
            <x v="2"/>
          </reference>
          <reference field="6" count="1" selected="0">
            <x v="4"/>
          </reference>
          <reference field="7" count="2" selected="0">
            <x v="2"/>
            <x v="4"/>
          </reference>
          <reference field="8" count="1" selected="0">
            <x v="1"/>
          </reference>
        </references>
      </pivotArea>
    </format>
    <format dxfId="1037">
      <pivotArea outline="0" fieldPosition="0">
        <references count="6">
          <reference field="1" count="1" selected="0">
            <x v="22"/>
          </reference>
          <reference field="2" count="1" selected="0">
            <x v="4"/>
          </reference>
          <reference field="5" count="1" selected="0">
            <x v="5"/>
          </reference>
          <reference field="6" count="1" selected="0">
            <x v="4"/>
          </reference>
          <reference field="7" count="1" selected="0">
            <x v="15"/>
          </reference>
          <reference field="8" count="1" selected="0">
            <x v="1"/>
          </reference>
        </references>
      </pivotArea>
    </format>
    <format dxfId="1036">
      <pivotArea dataOnly="0" outline="0" fieldPosition="0">
        <references count="1">
          <reference field="6" count="0"/>
        </references>
      </pivotArea>
    </format>
    <format dxfId="1035">
      <pivotArea outline="0" fieldPosition="0">
        <references count="2">
          <reference field="5" count="1" selected="0" defaultSubtotal="1">
            <x v="0"/>
          </reference>
          <reference field="6" count="1" selected="0">
            <x v="13"/>
          </reference>
        </references>
      </pivotArea>
    </format>
    <format dxfId="1034">
      <pivotArea outline="0" fieldPosition="0">
        <references count="2">
          <reference field="5" count="1" selected="0" defaultSubtotal="1">
            <x v="1"/>
          </reference>
          <reference field="6" count="3" selected="0">
            <x v="5"/>
            <x v="6"/>
            <x v="7"/>
          </reference>
        </references>
      </pivotArea>
    </format>
    <format dxfId="1033">
      <pivotArea outline="0" fieldPosition="0">
        <references count="6">
          <reference field="1" count="1" selected="0">
            <x v="4"/>
          </reference>
          <reference field="2" count="5" selected="0">
            <x v="0"/>
            <x v="1"/>
            <x v="5"/>
            <x v="6"/>
            <x v="7"/>
          </reference>
          <reference field="5" count="1" selected="0">
            <x v="2"/>
          </reference>
          <reference field="6" count="1" selected="0">
            <x v="4"/>
          </reference>
          <reference field="7" count="6" selected="0">
            <x v="2"/>
            <x v="4"/>
            <x v="36"/>
            <x v="37"/>
            <x v="38"/>
            <x v="43"/>
          </reference>
          <reference field="8" count="1" selected="0">
            <x v="1"/>
          </reference>
        </references>
      </pivotArea>
    </format>
    <format dxfId="1032">
      <pivotArea outline="0" fieldPosition="0">
        <references count="2">
          <reference field="5" count="1" selected="0" defaultSubtotal="1">
            <x v="2"/>
          </reference>
          <reference field="6" count="2" selected="0">
            <x v="5"/>
            <x v="6"/>
          </reference>
        </references>
      </pivotArea>
    </format>
    <format dxfId="1031">
      <pivotArea outline="0" fieldPosition="0">
        <references count="6">
          <reference field="1" count="1" selected="0">
            <x v="39"/>
          </reference>
          <reference field="2" count="1" selected="0">
            <x v="1"/>
          </reference>
          <reference field="5" count="1" selected="0">
            <x v="3"/>
          </reference>
          <reference field="6" count="2" selected="0">
            <x v="1"/>
            <x v="2"/>
          </reference>
          <reference field="7" count="1" selected="0">
            <x v="5"/>
          </reference>
          <reference field="8" count="1" selected="0">
            <x v="1"/>
          </reference>
        </references>
      </pivotArea>
    </format>
    <format dxfId="1030">
      <pivotArea outline="0" fieldPosition="0">
        <references count="6">
          <reference field="1" count="1" selected="0">
            <x v="39"/>
          </reference>
          <reference field="2" count="3" selected="0">
            <x v="1"/>
            <x v="6"/>
            <x v="9"/>
          </reference>
          <reference field="5" count="1" selected="0">
            <x v="3"/>
          </reference>
          <reference field="6" count="1" selected="0">
            <x v="0"/>
          </reference>
          <reference field="7" count="3" selected="0">
            <x v="5"/>
            <x v="17"/>
            <x v="54"/>
          </reference>
          <reference field="8" count="1" selected="0">
            <x v="1"/>
          </reference>
        </references>
      </pivotArea>
    </format>
    <format dxfId="1029">
      <pivotArea outline="0" fieldPosition="0">
        <references count="6">
          <reference field="1" count="1" selected="0">
            <x v="39"/>
          </reference>
          <reference field="2" count="6" selected="0">
            <x v="0"/>
            <x v="1"/>
            <x v="4"/>
            <x v="6"/>
            <x v="7"/>
            <x v="9"/>
          </reference>
          <reference field="5" count="1" selected="0">
            <x v="3"/>
          </reference>
          <reference field="6" count="1" selected="0">
            <x v="3"/>
          </reference>
          <reference field="7" count="8" selected="0">
            <x v="5"/>
            <x v="14"/>
            <x v="15"/>
            <x v="16"/>
            <x v="17"/>
            <x v="48"/>
            <x v="51"/>
            <x v="54"/>
          </reference>
          <reference field="8" count="1" selected="0">
            <x v="1"/>
          </reference>
        </references>
      </pivotArea>
    </format>
    <format dxfId="1028">
      <pivotArea outline="0" fieldPosition="0">
        <references count="6">
          <reference field="1" count="1" selected="0">
            <x v="39"/>
          </reference>
          <reference field="2" count="7" selected="0">
            <x v="0"/>
            <x v="1"/>
            <x v="4"/>
            <x v="6"/>
            <x v="7"/>
            <x v="9"/>
            <x v="11"/>
          </reference>
          <reference field="5" count="1" selected="0">
            <x v="3"/>
          </reference>
          <reference field="6" count="1" selected="0">
            <x v="4"/>
          </reference>
          <reference field="7" count="13" selected="0">
            <x v="5"/>
            <x v="8"/>
            <x v="14"/>
            <x v="15"/>
            <x v="16"/>
            <x v="17"/>
            <x v="20"/>
            <x v="48"/>
            <x v="51"/>
            <x v="52"/>
            <x v="53"/>
            <x v="54"/>
            <x v="55"/>
          </reference>
          <reference field="8" count="1" selected="0">
            <x v="1"/>
          </reference>
        </references>
      </pivotArea>
    </format>
    <format dxfId="1027">
      <pivotArea outline="0" fieldPosition="0">
        <references count="2">
          <reference field="5" count="1" selected="0" defaultSubtotal="1">
            <x v="3"/>
          </reference>
          <reference field="6" count="2" selected="0">
            <x v="5"/>
            <x v="6"/>
          </reference>
        </references>
      </pivotArea>
    </format>
    <format dxfId="1026">
      <pivotArea outline="0" fieldPosition="0">
        <references count="2">
          <reference field="5" count="1" selected="0" defaultSubtotal="1">
            <x v="4"/>
          </reference>
          <reference field="6" count="2" selected="0">
            <x v="5"/>
            <x v="6"/>
          </reference>
        </references>
      </pivotArea>
    </format>
    <format dxfId="1025">
      <pivotArea outline="0" fieldPosition="0">
        <references count="2">
          <reference field="5" count="1" selected="0" defaultSubtotal="1">
            <x v="5"/>
          </reference>
          <reference field="6" count="4" selected="0">
            <x v="5"/>
            <x v="6"/>
            <x v="7"/>
            <x v="8"/>
          </reference>
        </references>
      </pivotArea>
    </format>
    <format dxfId="1024">
      <pivotArea outline="0" fieldPosition="0">
        <references count="6">
          <reference field="1" count="1" selected="0">
            <x v="22"/>
          </reference>
          <reference field="2" count="1" selected="0">
            <x v="4"/>
          </reference>
          <reference field="5" count="1" selected="0">
            <x v="5"/>
          </reference>
          <reference field="6" count="2" selected="0">
            <x v="12"/>
            <x v="13"/>
          </reference>
          <reference field="7" count="1" selected="0">
            <x v="15"/>
          </reference>
          <reference field="8" count="1" selected="0">
            <x v="1"/>
          </reference>
        </references>
      </pivotArea>
    </format>
    <format dxfId="1023">
      <pivotArea outline="0" fieldPosition="0">
        <references count="6">
          <reference field="1" count="1" selected="0">
            <x v="22"/>
          </reference>
          <reference field="2" count="4" selected="0">
            <x v="1"/>
            <x v="4"/>
            <x v="6"/>
            <x v="9"/>
          </reference>
          <reference field="5" count="1" selected="0">
            <x v="5"/>
          </reference>
          <reference field="6" count="1" selected="0">
            <x v="0"/>
          </reference>
          <reference field="7" count="4" selected="0">
            <x v="15"/>
            <x v="25"/>
            <x v="26"/>
            <x v="48"/>
          </reference>
          <reference field="8" count="2" selected="0">
            <x v="1"/>
            <x v="4"/>
          </reference>
        </references>
      </pivotArea>
    </format>
    <format dxfId="1022">
      <pivotArea outline="0" fieldPosition="0">
        <references count="2">
          <reference field="5" count="1" selected="0" defaultSubtotal="1">
            <x v="5"/>
          </reference>
          <reference field="6" count="1" selected="0">
            <x v="11"/>
          </reference>
        </references>
      </pivotArea>
    </format>
    <format dxfId="1021">
      <pivotArea outline="0" fieldPosition="0">
        <references count="2">
          <reference field="5" count="1" selected="0" defaultSubtotal="1">
            <x v="5"/>
          </reference>
          <reference field="6" count="1" selected="0">
            <x v="9"/>
          </reference>
        </references>
      </pivotArea>
    </format>
    <format dxfId="1020">
      <pivotArea outline="0" fieldPosition="0">
        <references count="6">
          <reference field="1" count="1" selected="0">
            <x v="29"/>
          </reference>
          <reference field="2" count="1" selected="0">
            <x v="1"/>
          </reference>
          <reference field="5" count="1" selected="0">
            <x v="6"/>
          </reference>
          <reference field="6" count="5" selected="0">
            <x v="5"/>
            <x v="6"/>
            <x v="7"/>
            <x v="8"/>
            <x v="9"/>
          </reference>
          <reference field="7" count="2" selected="0">
            <x v="7"/>
            <x v="17"/>
          </reference>
          <reference field="8" count="2" selected="0">
            <x v="1"/>
            <x v="4"/>
          </reference>
        </references>
      </pivotArea>
    </format>
    <format dxfId="1019">
      <pivotArea outline="0" fieldPosition="0">
        <references count="6">
          <reference field="1" count="2" selected="0">
            <x v="30"/>
            <x v="42"/>
          </reference>
          <reference field="2" count="2" selected="0">
            <x v="3"/>
            <x v="17"/>
          </reference>
          <reference field="5" count="1" selected="0">
            <x v="6"/>
          </reference>
          <reference field="6" count="5" selected="0">
            <x v="5"/>
            <x v="6"/>
            <x v="7"/>
            <x v="8"/>
            <x v="9"/>
          </reference>
          <reference field="7" count="2" selected="0">
            <x v="29"/>
            <x v="47"/>
          </reference>
          <reference field="8" count="2" selected="0">
            <x v="1"/>
            <x v="2"/>
          </reference>
        </references>
      </pivotArea>
    </format>
    <format dxfId="1018">
      <pivotArea outline="0" fieldPosition="0">
        <references count="2">
          <reference field="5" count="1" selected="0" defaultSubtotal="1">
            <x v="6"/>
          </reference>
          <reference field="6" count="2" selected="0">
            <x v="5"/>
            <x v="6"/>
          </reference>
        </references>
      </pivotArea>
    </format>
    <format dxfId="1017">
      <pivotArea outline="0" fieldPosition="0">
        <references count="2">
          <reference field="5" count="3" selected="0" defaultSubtotal="1">
            <x v="4"/>
            <x v="5"/>
            <x v="6"/>
          </reference>
          <reference field="6" count="1" selected="0">
            <x v="10"/>
          </reference>
        </references>
      </pivotArea>
    </format>
    <format dxfId="1016">
      <pivotArea outline="0" fieldPosition="0">
        <references count="2">
          <reference field="5" count="1" selected="0" defaultSubtotal="1">
            <x v="6"/>
          </reference>
          <reference field="6" count="2" selected="0">
            <x v="12"/>
            <x v="13"/>
          </reference>
        </references>
      </pivotArea>
    </format>
    <format dxfId="1015">
      <pivotArea dataOnly="0" outline="0" fieldPosition="0">
        <references count="1">
          <reference field="5" count="0" defaultSubtotal="1"/>
        </references>
      </pivotArea>
    </format>
    <format dxfId="1014">
      <pivotArea outline="0" fieldPosition="0">
        <references count="6">
          <reference field="1" count="1" selected="0">
            <x v="0"/>
          </reference>
          <reference field="2" count="1" selected="0">
            <x v="0"/>
          </reference>
          <reference field="5" count="1" selected="0">
            <x v="0"/>
          </reference>
          <reference field="6" count="10" selected="0">
            <x v="0"/>
            <x v="5"/>
            <x v="6"/>
            <x v="7"/>
            <x v="8"/>
            <x v="9"/>
            <x v="10"/>
            <x v="11"/>
            <x v="12"/>
            <x v="13"/>
          </reference>
          <reference field="7" count="1" selected="0">
            <x v="0"/>
          </reference>
          <reference field="8" count="1" selected="0">
            <x v="0"/>
          </reference>
        </references>
      </pivotArea>
    </format>
    <format dxfId="1013">
      <pivotArea outline="0" fieldPosition="0">
        <references count="6">
          <reference field="1" count="1" selected="0">
            <x v="1"/>
          </reference>
          <reference field="2" count="1" selected="0">
            <x v="1"/>
          </reference>
          <reference field="5" count="1" selected="0">
            <x v="0"/>
          </reference>
          <reference field="6" count="2" selected="0">
            <x v="5"/>
            <x v="6"/>
          </reference>
          <reference field="7" count="1" selected="0">
            <x v="30"/>
          </reference>
          <reference field="8" count="1" selected="0">
            <x v="1"/>
          </reference>
        </references>
      </pivotArea>
    </format>
    <format dxfId="1012">
      <pivotArea outline="0" fieldPosition="0">
        <references count="6">
          <reference field="1" count="1" selected="0">
            <x v="1"/>
          </reference>
          <reference field="2" count="1" selected="0">
            <x v="1"/>
          </reference>
          <reference field="5" count="1" selected="0">
            <x v="0"/>
          </reference>
          <reference field="6" count="7" selected="0">
            <x v="0"/>
            <x v="1"/>
            <x v="2"/>
            <x v="3"/>
            <x v="11"/>
            <x v="12"/>
            <x v="13"/>
          </reference>
          <reference field="7" count="1" selected="0">
            <x v="30"/>
          </reference>
          <reference field="8" count="1" selected="0">
            <x v="1"/>
          </reference>
        </references>
      </pivotArea>
    </format>
    <format dxfId="1011">
      <pivotArea outline="0" fieldPosition="0">
        <references count="6">
          <reference field="1" count="1" selected="0">
            <x v="1"/>
          </reference>
          <reference field="2" count="1" selected="0">
            <x v="1"/>
          </reference>
          <reference field="5" count="1" selected="0">
            <x v="0"/>
          </reference>
          <reference field="6" count="9" selected="0">
            <x v="5"/>
            <x v="6"/>
            <x v="7"/>
            <x v="8"/>
            <x v="9"/>
            <x v="10"/>
            <x v="11"/>
            <x v="12"/>
            <x v="13"/>
          </reference>
          <reference field="7" count="1" selected="0">
            <x v="1"/>
          </reference>
          <reference field="8" count="1" selected="0">
            <x v="1"/>
          </reference>
        </references>
      </pivotArea>
    </format>
    <format dxfId="1010">
      <pivotArea outline="0" fieldPosition="0">
        <references count="6">
          <reference field="1" count="1" selected="0">
            <x v="1"/>
          </reference>
          <reference field="2" count="1" selected="0">
            <x v="1"/>
          </reference>
          <reference field="5" count="1" selected="0">
            <x v="0"/>
          </reference>
          <reference field="6" count="1" selected="0">
            <x v="4"/>
          </reference>
          <reference field="7" count="2" selected="0">
            <x v="1"/>
            <x v="30"/>
          </reference>
          <reference field="8" count="1" selected="0">
            <x v="1"/>
          </reference>
        </references>
      </pivotArea>
    </format>
    <format dxfId="1009">
      <pivotArea outline="0" fieldPosition="0">
        <references count="6">
          <reference field="1" count="1" selected="0">
            <x v="31"/>
          </reference>
          <reference field="2" count="1" selected="0">
            <x v="4"/>
          </reference>
          <reference field="5" count="1" selected="0">
            <x v="0"/>
          </reference>
          <reference field="6" count="4" selected="0">
            <x v="9"/>
            <x v="10"/>
            <x v="11"/>
            <x v="12"/>
          </reference>
          <reference field="7" count="1" selected="0">
            <x v="31"/>
          </reference>
          <reference field="8" count="1" selected="0">
            <x v="1"/>
          </reference>
        </references>
      </pivotArea>
    </format>
    <format dxfId="1008">
      <pivotArea outline="0" fieldPosition="0">
        <references count="6">
          <reference field="1" count="1" selected="0">
            <x v="31"/>
          </reference>
          <reference field="2" count="1" selected="0">
            <x v="4"/>
          </reference>
          <reference field="5" count="1" selected="0">
            <x v="0"/>
          </reference>
          <reference field="6" count="6" selected="0">
            <x v="0"/>
            <x v="1"/>
            <x v="2"/>
            <x v="3"/>
            <x v="4"/>
            <x v="13"/>
          </reference>
          <reference field="7" count="2" selected="0">
            <x v="31"/>
            <x v="32"/>
          </reference>
          <reference field="8" count="1" selected="0">
            <x v="1"/>
          </reference>
        </references>
      </pivotArea>
    </format>
    <format dxfId="1007">
      <pivotArea outline="0" fieldPosition="0">
        <references count="6">
          <reference field="1" count="1" selected="0">
            <x v="31"/>
          </reference>
          <reference field="2" count="1" selected="0">
            <x v="4"/>
          </reference>
          <reference field="5" count="1" selected="0">
            <x v="0"/>
          </reference>
          <reference field="6" count="4" selected="0">
            <x v="5"/>
            <x v="6"/>
            <x v="7"/>
            <x v="8"/>
          </reference>
          <reference field="7" count="1" selected="0">
            <x v="32"/>
          </reference>
          <reference field="8" count="1" selected="0">
            <x v="1"/>
          </reference>
        </references>
      </pivotArea>
    </format>
    <format dxfId="1006">
      <pivotArea outline="0" fieldPosition="0">
        <references count="6">
          <reference field="1" count="1" selected="0">
            <x v="32"/>
          </reference>
          <reference field="2" count="1" selected="0">
            <x v="0"/>
          </reference>
          <reference field="5" count="1" selected="0">
            <x v="0"/>
          </reference>
          <reference field="6" count="7" selected="0">
            <x v="0"/>
            <x v="1"/>
            <x v="2"/>
            <x v="3"/>
            <x v="4"/>
            <x v="12"/>
            <x v="13"/>
          </reference>
          <reference field="7" count="1" selected="0">
            <x v="33"/>
          </reference>
          <reference field="8" count="1" selected="0">
            <x v="1"/>
          </reference>
        </references>
      </pivotArea>
    </format>
    <format dxfId="1005">
      <pivotArea outline="0" fieldPosition="0">
        <references count="6">
          <reference field="1" count="1" selected="0">
            <x v="20"/>
          </reference>
          <reference field="2" count="1" selected="0">
            <x v="4"/>
          </reference>
          <reference field="5" count="1" selected="0">
            <x v="1"/>
          </reference>
          <reference field="6" count="10" selected="0">
            <x v="0"/>
            <x v="5"/>
            <x v="6"/>
            <x v="7"/>
            <x v="8"/>
            <x v="9"/>
            <x v="10"/>
            <x v="11"/>
            <x v="12"/>
            <x v="13"/>
          </reference>
          <reference field="7" count="1" selected="0">
            <x v="2"/>
          </reference>
          <reference field="8" count="1" selected="0">
            <x v="7"/>
          </reference>
        </references>
      </pivotArea>
    </format>
    <format dxfId="1004">
      <pivotArea outline="0" fieldPosition="0">
        <references count="6">
          <reference field="1" count="1" selected="0">
            <x v="21"/>
          </reference>
          <reference field="2" count="1" selected="0">
            <x v="8"/>
          </reference>
          <reference field="5" count="1" selected="0">
            <x v="1"/>
          </reference>
          <reference field="6" count="3" selected="0">
            <x v="5"/>
            <x v="6"/>
            <x v="7"/>
          </reference>
          <reference field="7" count="1" selected="0">
            <x v="21"/>
          </reference>
          <reference field="8" count="1" selected="0">
            <x v="1"/>
          </reference>
        </references>
      </pivotArea>
    </format>
    <format dxfId="1003">
      <pivotArea outline="0" fieldPosition="0">
        <references count="6">
          <reference field="1" count="1" selected="0">
            <x v="21"/>
          </reference>
          <reference field="2" count="1" selected="0">
            <x v="8"/>
          </reference>
          <reference field="5" count="1" selected="0">
            <x v="1"/>
          </reference>
          <reference field="6" count="1" selected="0">
            <x v="3"/>
          </reference>
          <reference field="7" count="1" selected="0">
            <x v="21"/>
          </reference>
          <reference field="8" count="1" selected="0">
            <x v="1"/>
          </reference>
        </references>
      </pivotArea>
    </format>
    <format dxfId="1002">
      <pivotArea outline="0" fieldPosition="0">
        <references count="6">
          <reference field="1" count="1" selected="0">
            <x v="2"/>
          </reference>
          <reference field="2" count="1" selected="0">
            <x v="0"/>
          </reference>
          <reference field="5" count="1" selected="0">
            <x v="2"/>
          </reference>
          <reference field="6" count="7" selected="0">
            <x v="5"/>
            <x v="6"/>
            <x v="7"/>
            <x v="8"/>
            <x v="9"/>
            <x v="10"/>
            <x v="11"/>
          </reference>
          <reference field="7" count="1" selected="0">
            <x v="34"/>
          </reference>
          <reference field="8" count="1" selected="0">
            <x v="1"/>
          </reference>
        </references>
      </pivotArea>
    </format>
    <format dxfId="1001">
      <pivotArea outline="0" fieldPosition="0">
        <references count="6">
          <reference field="1" count="1" selected="0">
            <x v="2"/>
          </reference>
          <reference field="2" count="1" selected="0">
            <x v="0"/>
          </reference>
          <reference field="5" count="1" selected="0">
            <x v="2"/>
          </reference>
          <reference field="6" count="5" selected="0">
            <x v="0"/>
            <x v="1"/>
            <x v="2"/>
            <x v="3"/>
            <x v="13"/>
          </reference>
          <reference field="7" count="1" selected="0">
            <x v="34"/>
          </reference>
          <reference field="8" count="1" selected="0">
            <x v="1"/>
          </reference>
        </references>
      </pivotArea>
    </format>
    <format dxfId="1000">
      <pivotArea outline="0" fieldPosition="0">
        <references count="6">
          <reference field="1" count="1" selected="0">
            <x v="2"/>
          </reference>
          <reference field="2" count="1" selected="0">
            <x v="0"/>
          </reference>
          <reference field="5" count="1" selected="0">
            <x v="2"/>
          </reference>
          <reference field="6" count="6" selected="0">
            <x v="5"/>
            <x v="6"/>
            <x v="7"/>
            <x v="8"/>
            <x v="9"/>
            <x v="10"/>
          </reference>
          <reference field="7" count="1" selected="0">
            <x v="2"/>
          </reference>
          <reference field="8" count="1" selected="0">
            <x v="1"/>
          </reference>
        </references>
      </pivotArea>
    </format>
    <format dxfId="999">
      <pivotArea outline="0" fieldPosition="0">
        <references count="6">
          <reference field="1" count="1" selected="0">
            <x v="2"/>
          </reference>
          <reference field="2" count="1" selected="0">
            <x v="0"/>
          </reference>
          <reference field="5" count="1" selected="0">
            <x v="2"/>
          </reference>
          <reference field="6" count="4" selected="0">
            <x v="0"/>
            <x v="11"/>
            <x v="12"/>
            <x v="13"/>
          </reference>
          <reference field="7" count="1" selected="0">
            <x v="2"/>
          </reference>
          <reference field="8" count="1" selected="0">
            <x v="1"/>
          </reference>
        </references>
      </pivotArea>
    </format>
    <format dxfId="998">
      <pivotArea outline="0" fieldPosition="0">
        <references count="6">
          <reference field="1" count="1" selected="0">
            <x v="3"/>
          </reference>
          <reference field="2" count="1" selected="0">
            <x v="4"/>
          </reference>
          <reference field="5" count="1" selected="0">
            <x v="2"/>
          </reference>
          <reference field="6" count="4" selected="0">
            <x v="0"/>
            <x v="11"/>
            <x v="12"/>
            <x v="13"/>
          </reference>
          <reference field="7" count="1" selected="0">
            <x v="35"/>
          </reference>
          <reference field="8" count="1" selected="0">
            <x v="1"/>
          </reference>
        </references>
      </pivotArea>
    </format>
    <format dxfId="997">
      <pivotArea outline="0" fieldPosition="0">
        <references count="6">
          <reference field="1" count="1" selected="0">
            <x v="3"/>
          </reference>
          <reference field="2" count="1" selected="0">
            <x v="4"/>
          </reference>
          <reference field="5" count="1" selected="0">
            <x v="2"/>
          </reference>
          <reference field="6" count="2" selected="0">
            <x v="5"/>
            <x v="6"/>
          </reference>
          <reference field="7" count="1" selected="0">
            <x v="35"/>
          </reference>
          <reference field="8" count="1" selected="0">
            <x v="1"/>
          </reference>
        </references>
      </pivotArea>
    </format>
    <format dxfId="996">
      <pivotArea outline="0" fieldPosition="0">
        <references count="6">
          <reference field="1" count="1" selected="0">
            <x v="3"/>
          </reference>
          <reference field="2" count="2" selected="0">
            <x v="2"/>
            <x v="4"/>
          </reference>
          <reference field="5" count="1" selected="0">
            <x v="2"/>
          </reference>
          <reference field="6" count="2" selected="0">
            <x v="1"/>
            <x v="2"/>
          </reference>
          <reference field="7" count="2" selected="0">
            <x v="3"/>
            <x v="35"/>
          </reference>
          <reference field="8" count="1" selected="0">
            <x v="1"/>
          </reference>
        </references>
      </pivotArea>
    </format>
    <format dxfId="995">
      <pivotArea outline="0" fieldPosition="0">
        <references count="6">
          <reference field="1" count="1" selected="0">
            <x v="3"/>
          </reference>
          <reference field="2" count="1" selected="0">
            <x v="2"/>
          </reference>
          <reference field="5" count="1" selected="0">
            <x v="2"/>
          </reference>
          <reference field="6" count="6" selected="0">
            <x v="5"/>
            <x v="6"/>
            <x v="7"/>
            <x v="8"/>
            <x v="9"/>
            <x v="10"/>
          </reference>
          <reference field="7" count="1" selected="0">
            <x v="3"/>
          </reference>
          <reference field="8" count="1" selected="0">
            <x v="1"/>
          </reference>
        </references>
      </pivotArea>
    </format>
    <format dxfId="994">
      <pivotArea outline="0" fieldPosition="0">
        <references count="6">
          <reference field="1" count="1" selected="0">
            <x v="4"/>
          </reference>
          <reference field="2" count="1" selected="0">
            <x v="7"/>
          </reference>
          <reference field="5" count="1" selected="0">
            <x v="2"/>
          </reference>
          <reference field="6" count="3" selected="0">
            <x v="5"/>
            <x v="6"/>
            <x v="7"/>
          </reference>
          <reference field="7" count="1" selected="0">
            <x v="36"/>
          </reference>
          <reference field="8" count="1" selected="0">
            <x v="1"/>
          </reference>
        </references>
      </pivotArea>
    </format>
    <format dxfId="993">
      <pivotArea outline="0" fieldPosition="0">
        <references count="6">
          <reference field="1" count="1" selected="0">
            <x v="4"/>
          </reference>
          <reference field="2" count="1" selected="0">
            <x v="7"/>
          </reference>
          <reference field="5" count="1" selected="0">
            <x v="2"/>
          </reference>
          <reference field="6" count="3" selected="0">
            <x v="9"/>
            <x v="10"/>
            <x v="11"/>
          </reference>
          <reference field="7" count="1" selected="0">
            <x v="36"/>
          </reference>
          <reference field="8" count="1" selected="0">
            <x v="1"/>
          </reference>
        </references>
      </pivotArea>
    </format>
    <format dxfId="992">
      <pivotArea outline="0" fieldPosition="0">
        <references count="6">
          <reference field="1" count="1" selected="0">
            <x v="4"/>
          </reference>
          <reference field="2" count="2" selected="0">
            <x v="1"/>
            <x v="7"/>
          </reference>
          <reference field="5" count="1" selected="0">
            <x v="2"/>
          </reference>
          <reference field="6" count="2" selected="0">
            <x v="12"/>
            <x v="13"/>
          </reference>
          <reference field="7" count="2" selected="0">
            <x v="36"/>
            <x v="37"/>
          </reference>
          <reference field="8" count="1" selected="0">
            <x v="1"/>
          </reference>
        </references>
      </pivotArea>
    </format>
    <format dxfId="991">
      <pivotArea outline="0" fieldPosition="0">
        <references count="6">
          <reference field="1" count="1" selected="0">
            <x v="4"/>
          </reference>
          <reference field="2" count="3" selected="0">
            <x v="1"/>
            <x v="6"/>
            <x v="7"/>
          </reference>
          <reference field="5" count="1" selected="0">
            <x v="2"/>
          </reference>
          <reference field="6" count="3" selected="0">
            <x v="0"/>
            <x v="1"/>
            <x v="2"/>
          </reference>
          <reference field="7" count="3" selected="0">
            <x v="36"/>
            <x v="37"/>
            <x v="38"/>
          </reference>
          <reference field="8" count="1" selected="0">
            <x v="1"/>
          </reference>
        </references>
      </pivotArea>
    </format>
    <format dxfId="990">
      <pivotArea outline="0" fieldPosition="0">
        <references count="6">
          <reference field="1" count="1" selected="0">
            <x v="4"/>
          </reference>
          <reference field="2" count="1" selected="0">
            <x v="1"/>
          </reference>
          <reference field="5" count="1" selected="0">
            <x v="2"/>
          </reference>
          <reference field="6" count="5" selected="0">
            <x v="5"/>
            <x v="6"/>
            <x v="7"/>
            <x v="8"/>
            <x v="9"/>
          </reference>
          <reference field="7" count="1" selected="0">
            <x v="37"/>
          </reference>
          <reference field="8" count="1" selected="0">
            <x v="1"/>
          </reference>
        </references>
      </pivotArea>
    </format>
    <format dxfId="989">
      <pivotArea outline="0" fieldPosition="0">
        <references count="6">
          <reference field="1" count="1" selected="0">
            <x v="4"/>
          </reference>
          <reference field="2" count="1" selected="0">
            <x v="6"/>
          </reference>
          <reference field="5" count="1" selected="0">
            <x v="2"/>
          </reference>
          <reference field="6" count="8" selected="0">
            <x v="5"/>
            <x v="6"/>
            <x v="7"/>
            <x v="8"/>
            <x v="9"/>
            <x v="10"/>
            <x v="11"/>
            <x v="12"/>
          </reference>
          <reference field="7" count="1" selected="0">
            <x v="38"/>
          </reference>
          <reference field="8" count="1" selected="0">
            <x v="1"/>
          </reference>
        </references>
      </pivotArea>
    </format>
    <format dxfId="988">
      <pivotArea outline="0" fieldPosition="0">
        <references count="6">
          <reference field="1" count="1" selected="0">
            <x v="4"/>
          </reference>
          <reference field="2" count="1" selected="0">
            <x v="0"/>
          </reference>
          <reference field="5" count="1" selected="0">
            <x v="2"/>
          </reference>
          <reference field="6" count="10" selected="0">
            <x v="0"/>
            <x v="5"/>
            <x v="6"/>
            <x v="7"/>
            <x v="8"/>
            <x v="9"/>
            <x v="10"/>
            <x v="11"/>
            <x v="12"/>
            <x v="13"/>
          </reference>
          <reference field="7" count="1" selected="0">
            <x v="4"/>
          </reference>
          <reference field="8" count="1" selected="0">
            <x v="1"/>
          </reference>
        </references>
      </pivotArea>
    </format>
    <format dxfId="987">
      <pivotArea outline="0" fieldPosition="0">
        <references count="6">
          <reference field="1" count="1" selected="0">
            <x v="5"/>
          </reference>
          <reference field="2" count="1" selected="0">
            <x v="3"/>
          </reference>
          <reference field="5" count="1" selected="0">
            <x v="2"/>
          </reference>
          <reference field="6" count="6" selected="0">
            <x v="5"/>
            <x v="6"/>
            <x v="7"/>
            <x v="8"/>
            <x v="9"/>
            <x v="10"/>
          </reference>
          <reference field="7" count="1" selected="0">
            <x v="5"/>
          </reference>
          <reference field="8" count="1" selected="0">
            <x v="1"/>
          </reference>
        </references>
      </pivotArea>
    </format>
    <format dxfId="986">
      <pivotArea outline="0" fieldPosition="0">
        <references count="6">
          <reference field="1" count="1" selected="0">
            <x v="5"/>
          </reference>
          <reference field="2" count="1" selected="0">
            <x v="3"/>
          </reference>
          <reference field="5" count="1" selected="0">
            <x v="2"/>
          </reference>
          <reference field="6" count="2" selected="0">
            <x v="1"/>
            <x v="2"/>
          </reference>
          <reference field="7" count="1" selected="0">
            <x v="5"/>
          </reference>
          <reference field="8" count="1" selected="0">
            <x v="1"/>
          </reference>
        </references>
      </pivotArea>
    </format>
    <format dxfId="985">
      <pivotArea outline="0" fieldPosition="0">
        <references count="6">
          <reference field="1" count="1" selected="0">
            <x v="21"/>
          </reference>
          <reference field="2" count="1" selected="0">
            <x v="8"/>
          </reference>
          <reference field="5" count="1" selected="0">
            <x v="1"/>
          </reference>
          <reference field="6" count="1" selected="0">
            <x v="4"/>
          </reference>
          <reference field="7" count="1" selected="0">
            <x v="21"/>
          </reference>
          <reference field="8" count="1" selected="0">
            <x v="1"/>
          </reference>
        </references>
      </pivotArea>
    </format>
    <format dxfId="984">
      <pivotArea outline="0" fieldPosition="0">
        <references count="6">
          <reference field="1" count="3" selected="0">
            <x v="2"/>
            <x v="3"/>
            <x v="4"/>
          </reference>
          <reference field="2" count="6" selected="0">
            <x v="0"/>
            <x v="1"/>
            <x v="2"/>
            <x v="4"/>
            <x v="6"/>
            <x v="7"/>
          </reference>
          <reference field="5" count="1" selected="0">
            <x v="2"/>
          </reference>
          <reference field="6" count="1" selected="0">
            <x v="4"/>
          </reference>
          <reference field="7" count="8" selected="0">
            <x v="2"/>
            <x v="3"/>
            <x v="4"/>
            <x v="34"/>
            <x v="35"/>
            <x v="36"/>
            <x v="37"/>
            <x v="38"/>
          </reference>
          <reference field="8" count="1" selected="0">
            <x v="1"/>
          </reference>
        </references>
      </pivotArea>
    </format>
    <format dxfId="983">
      <pivotArea outline="0" fieldPosition="0">
        <references count="6">
          <reference field="1" count="1" selected="0">
            <x v="5"/>
          </reference>
          <reference field="2" count="1" selected="0">
            <x v="3"/>
          </reference>
          <reference field="5" count="1" selected="0">
            <x v="2"/>
          </reference>
          <reference field="6" count="1" selected="0">
            <x v="4"/>
          </reference>
          <reference field="7" count="1" selected="0">
            <x v="5"/>
          </reference>
          <reference field="8" count="1" selected="0">
            <x v="1"/>
          </reference>
        </references>
      </pivotArea>
    </format>
    <format dxfId="982">
      <pivotArea outline="0" fieldPosition="0">
        <references count="6">
          <reference field="1" count="1" selected="0">
            <x v="5"/>
          </reference>
          <reference field="2" count="1" selected="0">
            <x v="4"/>
          </reference>
          <reference field="5" count="1" selected="0">
            <x v="2"/>
          </reference>
          <reference field="6" count="11" selected="0">
            <x v="0"/>
            <x v="1"/>
            <x v="5"/>
            <x v="6"/>
            <x v="7"/>
            <x v="8"/>
            <x v="9"/>
            <x v="10"/>
            <x v="11"/>
            <x v="12"/>
            <x v="13"/>
          </reference>
          <reference field="7" count="1" selected="0">
            <x v="6"/>
          </reference>
          <reference field="8" count="1" selected="0">
            <x v="2"/>
          </reference>
        </references>
      </pivotArea>
    </format>
    <format dxfId="981">
      <pivotArea outline="0" fieldPosition="0">
        <references count="6">
          <reference field="1" count="3" selected="0">
            <x v="3"/>
            <x v="4"/>
            <x v="5"/>
          </reference>
          <reference field="2" count="7" selected="0">
            <x v="0"/>
            <x v="1"/>
            <x v="2"/>
            <x v="3"/>
            <x v="4"/>
            <x v="6"/>
            <x v="7"/>
          </reference>
          <reference field="5" count="1" selected="0">
            <x v="2"/>
          </reference>
          <reference field="6" count="1" selected="0">
            <x v="3"/>
          </reference>
          <reference field="7" count="8" selected="0">
            <x v="3"/>
            <x v="4"/>
            <x v="5"/>
            <x v="6"/>
            <x v="35"/>
            <x v="36"/>
            <x v="37"/>
            <x v="38"/>
          </reference>
          <reference field="8" count="2" selected="0">
            <x v="1"/>
            <x v="2"/>
          </reference>
        </references>
      </pivotArea>
    </format>
    <format dxfId="980">
      <pivotArea outline="0" fieldPosition="0">
        <references count="6">
          <reference field="1" count="1" selected="0">
            <x v="33"/>
          </reference>
          <reference field="2" count="2" selected="0">
            <x v="4"/>
            <x v="12"/>
          </reference>
          <reference field="5" count="1" selected="0">
            <x v="2"/>
          </reference>
          <reference field="6" count="5" selected="0">
            <x v="5"/>
            <x v="6"/>
            <x v="7"/>
            <x v="8"/>
            <x v="9"/>
          </reference>
          <reference field="7" count="2" selected="0">
            <x v="39"/>
            <x v="40"/>
          </reference>
          <reference field="8" count="1" selected="0">
            <x v="1"/>
          </reference>
        </references>
      </pivotArea>
    </format>
    <format dxfId="979">
      <pivotArea outline="0" fieldPosition="0">
        <references count="6">
          <reference field="1" count="1" selected="0">
            <x v="33"/>
          </reference>
          <reference field="2" count="2" selected="0">
            <x v="4"/>
            <x v="12"/>
          </reference>
          <reference field="5" count="1" selected="0">
            <x v="2"/>
          </reference>
          <reference field="6" count="6" selected="0">
            <x v="0"/>
            <x v="1"/>
            <x v="2"/>
            <x v="3"/>
            <x v="4"/>
            <x v="13"/>
          </reference>
          <reference field="7" count="2" selected="0">
            <x v="39"/>
            <x v="40"/>
          </reference>
          <reference field="8" count="1" selected="0">
            <x v="1"/>
          </reference>
        </references>
      </pivotArea>
    </format>
    <format dxfId="978">
      <pivotArea outline="0" fieldPosition="0">
        <references count="6">
          <reference field="1" count="1" selected="0">
            <x v="6"/>
          </reference>
          <reference field="2" count="1" selected="0">
            <x v="3"/>
          </reference>
          <reference field="5" count="1" selected="0">
            <x v="2"/>
          </reference>
          <reference field="6" count="6" selected="0">
            <x v="0"/>
            <x v="1"/>
            <x v="2"/>
            <x v="3"/>
            <x v="4"/>
            <x v="13"/>
          </reference>
          <reference field="7" count="1" selected="0">
            <x v="41"/>
          </reference>
          <reference field="8" count="1" selected="0">
            <x v="1"/>
          </reference>
        </references>
      </pivotArea>
    </format>
    <format dxfId="977">
      <pivotArea outline="0" fieldPosition="0">
        <references count="6">
          <reference field="1" count="1" selected="0">
            <x v="33"/>
          </reference>
          <reference field="2" count="1" selected="0">
            <x v="12"/>
          </reference>
          <reference field="5" count="1" selected="0">
            <x v="2"/>
          </reference>
          <reference field="6" count="2" selected="0">
            <x v="11"/>
            <x v="12"/>
          </reference>
          <reference field="7" count="1" selected="0">
            <x v="40"/>
          </reference>
          <reference field="8" count="1" selected="0">
            <x v="1"/>
          </reference>
        </references>
      </pivotArea>
    </format>
    <format dxfId="976">
      <pivotArea outline="0" fieldPosition="0">
        <references count="6">
          <reference field="1" count="1" selected="0">
            <x v="6"/>
          </reference>
          <reference field="2" count="1" selected="0">
            <x v="3"/>
          </reference>
          <reference field="5" count="1" selected="0">
            <x v="2"/>
          </reference>
          <reference field="6" count="2" selected="0">
            <x v="5"/>
            <x v="6"/>
          </reference>
          <reference field="7" count="1" selected="0">
            <x v="41"/>
          </reference>
          <reference field="8" count="1" selected="0">
            <x v="1"/>
          </reference>
        </references>
      </pivotArea>
    </format>
    <format dxfId="975">
      <pivotArea outline="0" fieldPosition="0">
        <references count="6">
          <reference field="1" count="1" selected="0">
            <x v="6"/>
          </reference>
          <reference field="2" count="1" selected="0">
            <x v="4"/>
          </reference>
          <reference field="5" count="1" selected="0">
            <x v="2"/>
          </reference>
          <reference field="6" count="13" selected="0">
            <x v="0"/>
            <x v="1"/>
            <x v="2"/>
            <x v="3"/>
            <x v="5"/>
            <x v="6"/>
            <x v="7"/>
            <x v="8"/>
            <x v="9"/>
            <x v="10"/>
            <x v="11"/>
            <x v="12"/>
            <x v="13"/>
          </reference>
          <reference field="7" count="1" selected="0">
            <x v="7"/>
          </reference>
          <reference field="8" count="1" selected="0">
            <x v="3"/>
          </reference>
        </references>
      </pivotArea>
    </format>
    <format dxfId="974">
      <pivotArea outline="0" fieldPosition="0">
        <references count="6">
          <reference field="1" count="1" selected="0">
            <x v="7"/>
          </reference>
          <reference field="2" count="1" selected="0">
            <x v="4"/>
          </reference>
          <reference field="5" count="1" selected="0">
            <x v="2"/>
          </reference>
          <reference field="6" count="3" selected="0">
            <x v="5"/>
            <x v="6"/>
            <x v="7"/>
          </reference>
          <reference field="7" count="1" selected="0">
            <x v="42"/>
          </reference>
          <reference field="8" count="1" selected="0">
            <x v="1"/>
          </reference>
        </references>
      </pivotArea>
    </format>
    <format dxfId="973">
      <pivotArea outline="0" fieldPosition="0">
        <references count="6">
          <reference field="1" count="1" selected="0">
            <x v="7"/>
          </reference>
          <reference field="2" count="1" selected="0">
            <x v="4"/>
          </reference>
          <reference field="5" count="1" selected="0">
            <x v="2"/>
          </reference>
          <reference field="6" count="5" selected="0">
            <x v="0"/>
            <x v="1"/>
            <x v="2"/>
            <x v="3"/>
            <x v="4"/>
          </reference>
          <reference field="7" count="1" selected="0">
            <x v="42"/>
          </reference>
          <reference field="8" count="1" selected="0">
            <x v="1"/>
          </reference>
        </references>
      </pivotArea>
    </format>
    <format dxfId="972">
      <pivotArea outline="0" fieldPosition="0">
        <references count="6">
          <reference field="1" count="1" selected="0">
            <x v="7"/>
          </reference>
          <reference field="2" count="1" selected="0">
            <x v="0"/>
          </reference>
          <reference field="5" count="1" selected="0">
            <x v="2"/>
          </reference>
          <reference field="6" count="8" selected="0">
            <x v="5"/>
            <x v="6"/>
            <x v="7"/>
            <x v="8"/>
            <x v="9"/>
            <x v="10"/>
            <x v="11"/>
            <x v="12"/>
          </reference>
          <reference field="7" count="1" selected="0">
            <x v="8"/>
          </reference>
          <reference field="8" count="1" selected="0">
            <x v="4"/>
          </reference>
        </references>
      </pivotArea>
    </format>
    <format dxfId="971">
      <pivotArea outline="0" fieldPosition="0">
        <references count="6">
          <reference field="1" count="1" selected="0">
            <x v="8"/>
          </reference>
          <reference field="2" count="1" selected="0">
            <x v="0"/>
          </reference>
          <reference field="5" count="1" selected="0">
            <x v="2"/>
          </reference>
          <reference field="6" count="7" selected="0">
            <x v="5"/>
            <x v="6"/>
            <x v="7"/>
            <x v="8"/>
            <x v="9"/>
            <x v="10"/>
            <x v="11"/>
          </reference>
          <reference field="7" count="1" selected="0">
            <x v="43"/>
          </reference>
          <reference field="8" count="1" selected="0">
            <x v="1"/>
          </reference>
        </references>
      </pivotArea>
    </format>
    <format dxfId="970">
      <pivotArea outline="0" fieldPosition="0">
        <references count="6">
          <reference field="1" count="1" selected="0">
            <x v="7"/>
          </reference>
          <reference field="2" count="1" selected="0">
            <x v="0"/>
          </reference>
          <reference field="5" count="1" selected="0">
            <x v="2"/>
          </reference>
          <reference field="6" count="1" selected="0">
            <x v="13"/>
          </reference>
          <reference field="7" count="1" selected="0">
            <x v="8"/>
          </reference>
          <reference field="8" count="1" selected="0">
            <x v="4"/>
          </reference>
        </references>
      </pivotArea>
    </format>
    <format dxfId="969">
      <pivotArea outline="0" fieldPosition="0">
        <references count="6">
          <reference field="1" count="1" selected="0">
            <x v="8"/>
          </reference>
          <reference field="2" count="1" selected="0">
            <x v="0"/>
          </reference>
          <reference field="5" count="1" selected="0">
            <x v="2"/>
          </reference>
          <reference field="6" count="1" selected="0">
            <x v="13"/>
          </reference>
          <reference field="7" count="1" selected="0">
            <x v="43"/>
          </reference>
          <reference field="8" count="1" selected="0">
            <x v="1"/>
          </reference>
        </references>
      </pivotArea>
    </format>
    <format dxfId="968">
      <pivotArea outline="0" fieldPosition="0">
        <references count="6">
          <reference field="1" count="1" selected="0">
            <x v="8"/>
          </reference>
          <reference field="2" count="1" selected="0">
            <x v="0"/>
          </reference>
          <reference field="5" count="1" selected="0">
            <x v="2"/>
          </reference>
          <reference field="6" count="3" selected="0">
            <x v="1"/>
            <x v="2"/>
            <x v="3"/>
          </reference>
          <reference field="7" count="1" selected="0">
            <x v="43"/>
          </reference>
          <reference field="8" count="1" selected="0">
            <x v="1"/>
          </reference>
        </references>
      </pivotArea>
    </format>
    <format dxfId="967">
      <pivotArea outline="0" fieldPosition="0">
        <references count="6">
          <reference field="1" count="1" selected="0">
            <x v="8"/>
          </reference>
          <reference field="2" count="1" selected="0">
            <x v="5"/>
          </reference>
          <reference field="5" count="1" selected="0">
            <x v="2"/>
          </reference>
          <reference field="6" count="9" selected="0">
            <x v="5"/>
            <x v="6"/>
            <x v="7"/>
            <x v="8"/>
            <x v="9"/>
            <x v="10"/>
            <x v="11"/>
            <x v="12"/>
            <x v="13"/>
          </reference>
          <reference field="7" count="1" selected="0">
            <x v="2"/>
          </reference>
          <reference field="8" count="1" selected="0">
            <x v="1"/>
          </reference>
        </references>
      </pivotArea>
    </format>
    <format dxfId="966">
      <pivotArea outline="0" fieldPosition="0">
        <references count="6">
          <reference field="1" count="1" selected="0">
            <x v="9"/>
          </reference>
          <reference field="2" count="1" selected="0">
            <x v="4"/>
          </reference>
          <reference field="5" count="1" selected="0">
            <x v="2"/>
          </reference>
          <reference field="6" count="9" selected="0">
            <x v="5"/>
            <x v="6"/>
            <x v="7"/>
            <x v="8"/>
            <x v="9"/>
            <x v="10"/>
            <x v="11"/>
            <x v="12"/>
            <x v="13"/>
          </reference>
          <reference field="7" count="1" selected="0">
            <x v="9"/>
          </reference>
          <reference field="8" count="1" selected="0">
            <x v="5"/>
          </reference>
        </references>
      </pivotArea>
    </format>
    <format dxfId="965">
      <pivotArea outline="0" fieldPosition="0">
        <references count="6">
          <reference field="1" count="1" selected="0">
            <x v="8"/>
          </reference>
          <reference field="2" count="2" selected="0">
            <x v="0"/>
            <x v="5"/>
          </reference>
          <reference field="5" count="1" selected="0">
            <x v="2"/>
          </reference>
          <reference field="6" count="1" selected="0">
            <x v="4"/>
          </reference>
          <reference field="7" count="2" selected="0">
            <x v="2"/>
            <x v="43"/>
          </reference>
          <reference field="8" count="1" selected="0">
            <x v="1"/>
          </reference>
        </references>
      </pivotArea>
    </format>
    <format dxfId="964">
      <pivotArea outline="0" fieldPosition="0">
        <references count="6">
          <reference field="1" count="1" selected="0">
            <x v="9"/>
          </reference>
          <reference field="2" count="1" selected="0">
            <x v="4"/>
          </reference>
          <reference field="5" count="1" selected="0">
            <x v="2"/>
          </reference>
          <reference field="6" count="2" selected="0">
            <x v="1"/>
            <x v="2"/>
          </reference>
          <reference field="7" count="1" selected="0">
            <x v="9"/>
          </reference>
          <reference field="8" count="1" selected="0">
            <x v="5"/>
          </reference>
        </references>
      </pivotArea>
    </format>
    <format dxfId="963">
      <pivotArea outline="0" fieldPosition="0">
        <references count="6">
          <reference field="1" count="1" selected="0">
            <x v="34"/>
          </reference>
          <reference field="2" count="1" selected="0">
            <x v="4"/>
          </reference>
          <reference field="5" count="1" selected="0">
            <x v="3"/>
          </reference>
          <reference field="6" count="2" selected="0">
            <x v="1"/>
            <x v="2"/>
          </reference>
          <reference field="7" count="1" selected="0">
            <x v="48"/>
          </reference>
          <reference field="8" count="1" selected="0">
            <x v="1"/>
          </reference>
        </references>
      </pivotArea>
    </format>
    <format dxfId="962">
      <pivotArea outline="0" fieldPosition="0">
        <references count="6">
          <reference field="1" count="1" selected="0">
            <x v="13"/>
          </reference>
          <reference field="2" count="1" selected="0">
            <x v="4"/>
          </reference>
          <reference field="5" count="1" selected="0">
            <x v="3"/>
          </reference>
          <reference field="6" count="2" selected="0">
            <x v="1"/>
            <x v="2"/>
          </reference>
          <reference field="7" count="1" selected="0">
            <x v="14"/>
          </reference>
          <reference field="8" count="1" selected="0">
            <x v="1"/>
          </reference>
        </references>
      </pivotArea>
    </format>
    <format dxfId="961">
      <pivotArea outline="0" fieldPosition="0">
        <references count="6">
          <reference field="1" count="1" selected="0">
            <x v="34"/>
          </reference>
          <reference field="2" count="1" selected="0">
            <x v="4"/>
          </reference>
          <reference field="5" count="1" selected="0">
            <x v="3"/>
          </reference>
          <reference field="6" count="7" selected="0">
            <x v="5"/>
            <x v="6"/>
            <x v="7"/>
            <x v="8"/>
            <x v="9"/>
            <x v="10"/>
            <x v="11"/>
          </reference>
          <reference field="7" count="1" selected="0">
            <x v="48"/>
          </reference>
          <reference field="8" count="1" selected="0">
            <x v="1"/>
          </reference>
        </references>
      </pivotArea>
    </format>
    <format dxfId="960">
      <pivotArea outline="0" fieldPosition="0">
        <references count="6">
          <reference field="1" count="2" selected="0">
            <x v="8"/>
            <x v="9"/>
          </reference>
          <reference field="2" count="3" selected="0">
            <x v="0"/>
            <x v="4"/>
            <x v="5"/>
          </reference>
          <reference field="5" count="1" selected="0">
            <x v="2"/>
          </reference>
          <reference field="6" count="1" selected="0">
            <x v="0"/>
          </reference>
          <reference field="7" count="3" selected="0">
            <x v="2"/>
            <x v="9"/>
            <x v="43"/>
          </reference>
          <reference field="8" count="2" selected="0">
            <x v="1"/>
            <x v="5"/>
          </reference>
        </references>
      </pivotArea>
    </format>
    <format dxfId="959">
      <pivotArea outline="0" fieldPosition="0">
        <references count="6">
          <reference field="1" count="1" selected="0">
            <x v="34"/>
          </reference>
          <reference field="2" count="1" selected="0">
            <x v="4"/>
          </reference>
          <reference field="5" count="1" selected="0">
            <x v="3"/>
          </reference>
          <reference field="6" count="1" selected="0">
            <x v="0"/>
          </reference>
          <reference field="7" count="1" selected="0">
            <x v="48"/>
          </reference>
          <reference field="8" count="1" selected="0">
            <x v="1"/>
          </reference>
        </references>
      </pivotArea>
    </format>
    <format dxfId="958">
      <pivotArea outline="0" fieldPosition="0">
        <references count="6">
          <reference field="1" count="1" selected="0">
            <x v="13"/>
          </reference>
          <reference field="2" count="1" selected="0">
            <x v="4"/>
          </reference>
          <reference field="5" count="1" selected="0">
            <x v="3"/>
          </reference>
          <reference field="6" count="8" selected="0">
            <x v="5"/>
            <x v="6"/>
            <x v="7"/>
            <x v="8"/>
            <x v="9"/>
            <x v="10"/>
            <x v="11"/>
            <x v="12"/>
          </reference>
          <reference field="7" count="1" selected="0">
            <x v="14"/>
          </reference>
          <reference field="8" count="1" selected="0">
            <x v="1"/>
          </reference>
        </references>
      </pivotArea>
    </format>
    <format dxfId="957">
      <pivotArea outline="0" fieldPosition="0">
        <references count="6">
          <reference field="1" count="1" selected="0">
            <x v="13"/>
          </reference>
          <reference field="2" count="1" selected="0">
            <x v="4"/>
          </reference>
          <reference field="5" count="1" selected="0">
            <x v="3"/>
          </reference>
          <reference field="6" count="10" selected="0">
            <x v="0"/>
            <x v="5"/>
            <x v="6"/>
            <x v="7"/>
            <x v="8"/>
            <x v="9"/>
            <x v="10"/>
            <x v="11"/>
            <x v="12"/>
            <x v="13"/>
          </reference>
          <reference field="7" count="1" selected="0">
            <x v="15"/>
          </reference>
          <reference field="8" count="1" selected="0">
            <x v="1"/>
          </reference>
        </references>
      </pivotArea>
    </format>
    <format dxfId="956">
      <pivotArea outline="0" fieldPosition="0">
        <references count="6">
          <reference field="1" count="1" selected="0">
            <x v="35"/>
          </reference>
          <reference field="2" count="1" selected="0">
            <x v="1"/>
          </reference>
          <reference field="5" count="1" selected="0">
            <x v="3"/>
          </reference>
          <reference field="6" count="5" selected="0">
            <x v="5"/>
            <x v="6"/>
            <x v="7"/>
            <x v="8"/>
            <x v="9"/>
          </reference>
          <reference field="7" count="1" selected="0">
            <x v="49"/>
          </reference>
          <reference field="8" count="1" selected="0">
            <x v="1"/>
          </reference>
        </references>
      </pivotArea>
    </format>
    <format dxfId="955">
      <pivotArea outline="0" fieldPosition="0">
        <references count="6">
          <reference field="1" count="3" selected="0">
            <x v="35"/>
            <x v="36"/>
            <x v="37"/>
          </reference>
          <reference field="2" count="3" selected="0">
            <x v="1"/>
            <x v="6"/>
            <x v="7"/>
          </reference>
          <reference field="5" count="1" selected="0">
            <x v="3"/>
          </reference>
          <reference field="6" count="3" selected="0">
            <x v="0"/>
            <x v="1"/>
            <x v="2"/>
          </reference>
          <reference field="7" count="4" selected="0">
            <x v="5"/>
            <x v="42"/>
            <x v="49"/>
            <x v="50"/>
          </reference>
          <reference field="8" count="1" selected="0">
            <x v="1"/>
          </reference>
        </references>
      </pivotArea>
    </format>
    <format dxfId="954">
      <pivotArea outline="0" fieldPosition="0">
        <references count="6">
          <reference field="1" count="1" selected="0">
            <x v="14"/>
          </reference>
          <reference field="2" count="1" selected="0">
            <x v="4"/>
          </reference>
          <reference field="5" count="1" selected="0">
            <x v="3"/>
          </reference>
          <reference field="6" count="3" selected="0">
            <x v="0"/>
            <x v="1"/>
            <x v="2"/>
          </reference>
          <reference field="7" count="1" selected="0">
            <x v="51"/>
          </reference>
          <reference field="8" count="1" selected="0">
            <x v="1"/>
          </reference>
        </references>
      </pivotArea>
    </format>
    <format dxfId="953">
      <pivotArea outline="0" fieldPosition="0">
        <references count="6">
          <reference field="1" count="1" selected="0">
            <x v="36"/>
          </reference>
          <reference field="2" count="1" selected="0">
            <x v="6"/>
          </reference>
          <reference field="5" count="1" selected="0">
            <x v="3"/>
          </reference>
          <reference field="6" count="2" selected="0">
            <x v="5"/>
            <x v="6"/>
          </reference>
          <reference field="7" count="1" selected="0">
            <x v="50"/>
          </reference>
          <reference field="8" count="1" selected="0">
            <x v="1"/>
          </reference>
        </references>
      </pivotArea>
    </format>
    <format dxfId="952">
      <pivotArea outline="0" fieldPosition="0">
        <references count="6">
          <reference field="1" count="1" selected="0">
            <x v="36"/>
          </reference>
          <reference field="2" count="1" selected="0">
            <x v="6"/>
          </reference>
          <reference field="5" count="1" selected="0">
            <x v="3"/>
          </reference>
          <reference field="6" count="3" selected="0">
            <x v="8"/>
            <x v="9"/>
            <x v="10"/>
          </reference>
          <reference field="7" count="1" selected="0">
            <x v="50"/>
          </reference>
          <reference field="8" count="1" selected="0">
            <x v="1"/>
          </reference>
        </references>
      </pivotArea>
    </format>
    <format dxfId="951">
      <pivotArea outline="0" fieldPosition="0">
        <references count="6">
          <reference field="1" count="1" selected="0">
            <x v="36"/>
          </reference>
          <reference field="2" count="2" selected="0">
            <x v="1"/>
            <x v="6"/>
          </reference>
          <reference field="5" count="1" selected="0">
            <x v="3"/>
          </reference>
          <reference field="6" count="2" selected="0">
            <x v="11"/>
            <x v="12"/>
          </reference>
          <reference field="7" count="2" selected="0">
            <x v="42"/>
            <x v="50"/>
          </reference>
          <reference field="8" count="1" selected="0">
            <x v="1"/>
          </reference>
        </references>
      </pivotArea>
    </format>
    <format dxfId="950">
      <pivotArea outline="0" fieldPosition="0">
        <references count="6">
          <reference field="1" count="1" selected="0">
            <x v="36"/>
          </reference>
          <reference field="2" count="1" selected="0">
            <x v="1"/>
          </reference>
          <reference field="5" count="1" selected="0">
            <x v="3"/>
          </reference>
          <reference field="6" count="3" selected="0">
            <x v="5"/>
            <x v="6"/>
            <x v="7"/>
          </reference>
          <reference field="7" count="1" selected="0">
            <x v="42"/>
          </reference>
          <reference field="8" count="1" selected="0">
            <x v="1"/>
          </reference>
        </references>
      </pivotArea>
    </format>
    <format dxfId="949">
      <pivotArea outline="0" fieldPosition="0">
        <references count="6">
          <reference field="1" count="1" selected="0">
            <x v="36"/>
          </reference>
          <reference field="2" count="1" selected="0">
            <x v="6"/>
          </reference>
          <reference field="5" count="1" selected="0">
            <x v="3"/>
          </reference>
          <reference field="6" count="6" selected="0">
            <x v="5"/>
            <x v="6"/>
            <x v="7"/>
            <x v="8"/>
            <x v="9"/>
            <x v="10"/>
          </reference>
          <reference field="7" count="1" selected="0">
            <x v="5"/>
          </reference>
          <reference field="8" count="1" selected="0">
            <x v="1"/>
          </reference>
        </references>
      </pivotArea>
    </format>
    <format dxfId="948">
      <pivotArea outline="0" fieldPosition="0">
        <references count="6">
          <reference field="1" count="1" selected="0">
            <x v="37"/>
          </reference>
          <reference field="2" count="1" selected="0">
            <x v="7"/>
          </reference>
          <reference field="5" count="1" selected="0">
            <x v="3"/>
          </reference>
          <reference field="6" count="6" selected="0">
            <x v="5"/>
            <x v="6"/>
            <x v="7"/>
            <x v="8"/>
            <x v="9"/>
            <x v="10"/>
          </reference>
          <reference field="7" count="1" selected="0">
            <x v="5"/>
          </reference>
          <reference field="8" count="1" selected="0">
            <x v="1"/>
          </reference>
        </references>
      </pivotArea>
    </format>
    <format dxfId="947">
      <pivotArea outline="0" fieldPosition="0">
        <references count="6">
          <reference field="1" count="1" selected="0">
            <x v="36"/>
          </reference>
          <reference field="2" count="2" selected="0">
            <x v="1"/>
            <x v="6"/>
          </reference>
          <reference field="5" count="1" selected="0">
            <x v="3"/>
          </reference>
          <reference field="6" count="1" selected="0">
            <x v="13"/>
          </reference>
          <reference field="7" count="3" selected="0">
            <x v="5"/>
            <x v="42"/>
            <x v="50"/>
          </reference>
          <reference field="8" count="1" selected="0">
            <x v="1"/>
          </reference>
        </references>
      </pivotArea>
    </format>
    <format dxfId="946">
      <pivotArea outline="0" fieldPosition="0">
        <references count="6">
          <reference field="1" count="1" selected="0">
            <x v="14"/>
          </reference>
          <reference field="2" count="1" selected="0">
            <x v="4"/>
          </reference>
          <reference field="5" count="1" selected="0">
            <x v="3"/>
          </reference>
          <reference field="6" count="7" selected="0">
            <x v="5"/>
            <x v="6"/>
            <x v="7"/>
            <x v="8"/>
            <x v="9"/>
            <x v="10"/>
            <x v="11"/>
          </reference>
          <reference field="7" count="1" selected="0">
            <x v="51"/>
          </reference>
          <reference field="8" count="1" selected="0">
            <x v="1"/>
          </reference>
        </references>
      </pivotArea>
    </format>
    <format dxfId="945">
      <pivotArea outline="0" fieldPosition="0">
        <references count="6">
          <reference field="1" count="1" selected="0">
            <x v="14"/>
          </reference>
          <reference field="2" count="1" selected="0">
            <x v="0"/>
          </reference>
          <reference field="5" count="1" selected="0">
            <x v="3"/>
          </reference>
          <reference field="6" count="9" selected="0">
            <x v="5"/>
            <x v="6"/>
            <x v="7"/>
            <x v="8"/>
            <x v="9"/>
            <x v="10"/>
            <x v="11"/>
            <x v="12"/>
            <x v="13"/>
          </reference>
          <reference field="7" count="1" selected="0">
            <x v="16"/>
          </reference>
          <reference field="8" count="1" selected="0">
            <x v="1"/>
          </reference>
        </references>
      </pivotArea>
    </format>
    <format dxfId="944">
      <pivotArea outline="0" fieldPosition="0">
        <references count="6">
          <reference field="1" count="6" selected="0">
            <x v="13"/>
            <x v="14"/>
            <x v="34"/>
            <x v="35"/>
            <x v="36"/>
            <x v="37"/>
          </reference>
          <reference field="2" count="5" selected="0">
            <x v="0"/>
            <x v="1"/>
            <x v="4"/>
            <x v="6"/>
            <x v="7"/>
          </reference>
          <reference field="5" count="1" selected="0">
            <x v="3"/>
          </reference>
          <reference field="6" count="1" selected="0">
            <x v="3"/>
          </reference>
          <reference field="7" count="9" selected="0">
            <x v="5"/>
            <x v="14"/>
            <x v="15"/>
            <x v="16"/>
            <x v="42"/>
            <x v="48"/>
            <x v="49"/>
            <x v="50"/>
            <x v="51"/>
          </reference>
          <reference field="8" count="1" selected="0">
            <x v="1"/>
          </reference>
        </references>
      </pivotArea>
    </format>
    <format dxfId="943">
      <pivotArea outline="0" fieldPosition="0">
        <references count="6">
          <reference field="1" count="1" selected="0">
            <x v="38"/>
          </reference>
          <reference field="2" count="1" selected="0">
            <x v="7"/>
          </reference>
          <reference field="5" count="1" selected="0">
            <x v="3"/>
          </reference>
          <reference field="6" count="7" selected="0">
            <x v="5"/>
            <x v="6"/>
            <x v="7"/>
            <x v="8"/>
            <x v="9"/>
            <x v="10"/>
            <x v="11"/>
          </reference>
          <reference field="7" count="1" selected="0">
            <x v="48"/>
          </reference>
          <reference field="8" count="1" selected="0">
            <x v="1"/>
          </reference>
        </references>
      </pivotArea>
    </format>
    <format dxfId="942">
      <pivotArea outline="0" fieldPosition="0">
        <references count="6">
          <reference field="1" count="1" selected="0">
            <x v="38"/>
          </reference>
          <reference field="2" count="1" selected="0">
            <x v="7"/>
          </reference>
          <reference field="5" count="1" selected="0">
            <x v="3"/>
          </reference>
          <reference field="6" count="5" selected="0">
            <x v="0"/>
            <x v="1"/>
            <x v="2"/>
            <x v="3"/>
            <x v="13"/>
          </reference>
          <reference field="7" count="1" selected="0">
            <x v="48"/>
          </reference>
          <reference field="8" count="1" selected="0">
            <x v="1"/>
          </reference>
        </references>
      </pivotArea>
    </format>
    <format dxfId="941">
      <pivotArea outline="0" fieldPosition="0">
        <references count="6">
          <reference field="1" count="1" selected="0">
            <x v="15"/>
          </reference>
          <reference field="2" count="2" selected="0">
            <x v="6"/>
            <x v="7"/>
          </reference>
          <reference field="5" count="1" selected="0">
            <x v="3"/>
          </reference>
          <reference field="6" count="5" selected="0">
            <x v="0"/>
            <x v="1"/>
            <x v="2"/>
            <x v="3"/>
            <x v="13"/>
          </reference>
          <reference field="7" count="2" selected="0">
            <x v="52"/>
            <x v="53"/>
          </reference>
          <reference field="8" count="1" selected="0">
            <x v="1"/>
          </reference>
        </references>
      </pivotArea>
    </format>
    <format dxfId="940">
      <pivotArea outline="0" fieldPosition="0">
        <references count="6">
          <reference field="1" count="1" selected="0">
            <x v="15"/>
          </reference>
          <reference field="2" count="1" selected="0">
            <x v="7"/>
          </reference>
          <reference field="5" count="1" selected="0">
            <x v="3"/>
          </reference>
          <reference field="6" count="3" selected="0">
            <x v="5"/>
            <x v="6"/>
            <x v="7"/>
          </reference>
          <reference field="7" count="1" selected="0">
            <x v="52"/>
          </reference>
          <reference field="8" count="1" selected="0">
            <x v="1"/>
          </reference>
        </references>
      </pivotArea>
    </format>
    <format dxfId="939">
      <pivotArea outline="0" fieldPosition="0">
        <references count="6">
          <reference field="1" count="1" selected="0">
            <x v="15"/>
          </reference>
          <reference field="2" count="1" selected="0">
            <x v="7"/>
          </reference>
          <reference field="5" count="1" selected="0">
            <x v="3"/>
          </reference>
          <reference field="6" count="2" selected="0">
            <x v="11"/>
            <x v="12"/>
          </reference>
          <reference field="7" count="1" selected="0">
            <x v="52"/>
          </reference>
          <reference field="8" count="1" selected="0">
            <x v="1"/>
          </reference>
        </references>
      </pivotArea>
    </format>
    <format dxfId="938">
      <pivotArea outline="0" fieldPosition="0">
        <references count="6">
          <reference field="1" count="1" selected="0">
            <x v="15"/>
          </reference>
          <reference field="2" count="1" selected="0">
            <x v="6"/>
          </reference>
          <reference field="5" count="1" selected="0">
            <x v="3"/>
          </reference>
          <reference field="6" count="6" selected="0">
            <x v="5"/>
            <x v="6"/>
            <x v="7"/>
            <x v="8"/>
            <x v="9"/>
            <x v="10"/>
          </reference>
          <reference field="7" count="1" selected="0">
            <x v="53"/>
          </reference>
          <reference field="8" count="1" selected="0">
            <x v="1"/>
          </reference>
        </references>
      </pivotArea>
    </format>
    <format dxfId="937">
      <pivotArea outline="0" fieldPosition="0">
        <references count="6">
          <reference field="1" count="1" selected="0">
            <x v="15"/>
          </reference>
          <reference field="2" count="1" selected="0">
            <x v="7"/>
          </reference>
          <reference field="5" count="1" selected="0">
            <x v="3"/>
          </reference>
          <reference field="6" count="10" selected="0">
            <x v="0"/>
            <x v="5"/>
            <x v="6"/>
            <x v="7"/>
            <x v="8"/>
            <x v="9"/>
            <x v="10"/>
            <x v="11"/>
            <x v="12"/>
            <x v="13"/>
          </reference>
          <reference field="7" count="1" selected="0">
            <x v="16"/>
          </reference>
          <reference field="8" count="1" selected="0">
            <x v="1"/>
          </reference>
        </references>
      </pivotArea>
    </format>
    <format dxfId="936">
      <pivotArea outline="0" fieldPosition="0">
        <references count="6">
          <reference field="1" count="1" selected="0">
            <x v="16"/>
          </reference>
          <reference field="2" count="1" selected="0">
            <x v="9"/>
          </reference>
          <reference field="5" count="1" selected="0">
            <x v="3"/>
          </reference>
          <reference field="6" count="4" selected="0">
            <x v="5"/>
            <x v="6"/>
            <x v="7"/>
            <x v="8"/>
          </reference>
          <reference field="7" count="1" selected="0">
            <x v="54"/>
          </reference>
          <reference field="8" count="1" selected="0">
            <x v="1"/>
          </reference>
        </references>
      </pivotArea>
    </format>
    <format dxfId="935">
      <pivotArea outline="0" fieldPosition="0">
        <references count="6">
          <reference field="1" count="1" selected="0">
            <x v="16"/>
          </reference>
          <reference field="2" count="1" selected="0">
            <x v="9"/>
          </reference>
          <reference field="5" count="1" selected="0">
            <x v="3"/>
          </reference>
          <reference field="6" count="7" selected="0">
            <x v="0"/>
            <x v="1"/>
            <x v="2"/>
            <x v="10"/>
            <x v="11"/>
            <x v="12"/>
            <x v="13"/>
          </reference>
          <reference field="7" count="1" selected="0">
            <x v="54"/>
          </reference>
          <reference field="8" count="1" selected="0">
            <x v="1"/>
          </reference>
        </references>
      </pivotArea>
    </format>
    <format dxfId="934">
      <pivotArea outline="0" fieldPosition="0">
        <references count="6">
          <reference field="1" count="1" selected="0">
            <x v="16"/>
          </reference>
          <reference field="2" count="1" selected="0">
            <x v="6"/>
          </reference>
          <reference field="5" count="1" selected="0">
            <x v="3"/>
          </reference>
          <reference field="6" count="10" selected="0">
            <x v="0"/>
            <x v="5"/>
            <x v="6"/>
            <x v="7"/>
            <x v="8"/>
            <x v="9"/>
            <x v="10"/>
            <x v="11"/>
            <x v="12"/>
            <x v="13"/>
          </reference>
          <reference field="7" count="1" selected="0">
            <x v="17"/>
          </reference>
          <reference field="8" count="1" selected="0">
            <x v="1"/>
          </reference>
        </references>
      </pivotArea>
    </format>
    <format dxfId="933">
      <pivotArea outline="0" fieldPosition="0">
        <references count="6">
          <reference field="1" count="1" selected="0">
            <x v="16"/>
          </reference>
          <reference field="2" count="2" selected="0">
            <x v="6"/>
            <x v="9"/>
          </reference>
          <reference field="5" count="1" selected="0">
            <x v="3"/>
          </reference>
          <reference field="6" count="1" selected="0">
            <x v="3"/>
          </reference>
          <reference field="7" count="2" selected="0">
            <x v="17"/>
            <x v="54"/>
          </reference>
          <reference field="8" count="1" selected="0">
            <x v="1"/>
          </reference>
        </references>
      </pivotArea>
    </format>
    <format dxfId="932">
      <pivotArea outline="0" fieldPosition="0">
        <references count="6">
          <reference field="1" count="1" selected="0">
            <x v="17"/>
          </reference>
          <reference field="2" count="1" selected="0">
            <x v="0"/>
          </reference>
          <reference field="5" count="1" selected="0">
            <x v="3"/>
          </reference>
          <reference field="6" count="9" selected="0">
            <x v="5"/>
            <x v="6"/>
            <x v="7"/>
            <x v="8"/>
            <x v="9"/>
            <x v="10"/>
            <x v="11"/>
            <x v="12"/>
            <x v="13"/>
          </reference>
          <reference field="7" count="1" selected="0">
            <x v="8"/>
          </reference>
          <reference field="8" count="1" selected="0">
            <x v="1"/>
          </reference>
        </references>
      </pivotArea>
    </format>
    <format dxfId="931">
      <pivotArea outline="0" fieldPosition="0">
        <references count="6">
          <reference field="1" count="1" selected="0">
            <x v="17"/>
          </reference>
          <reference field="2" count="1" selected="0">
            <x v="0"/>
          </reference>
          <reference field="5" count="1" selected="0">
            <x v="3"/>
          </reference>
          <reference field="6" count="1" selected="0">
            <x v="1"/>
          </reference>
          <reference field="7" count="1" selected="0">
            <x v="8"/>
          </reference>
          <reference field="8" count="1" selected="0">
            <x v="1"/>
          </reference>
        </references>
      </pivotArea>
    </format>
    <format dxfId="930">
      <pivotArea outline="0" fieldPosition="0">
        <references count="6">
          <reference field="1" count="10" selected="0">
            <x v="13"/>
            <x v="14"/>
            <x v="15"/>
            <x v="16"/>
            <x v="17"/>
            <x v="34"/>
            <x v="35"/>
            <x v="36"/>
            <x v="37"/>
            <x v="38"/>
          </reference>
          <reference field="2" count="6" selected="0">
            <x v="0"/>
            <x v="1"/>
            <x v="4"/>
            <x v="6"/>
            <x v="7"/>
            <x v="9"/>
          </reference>
          <reference field="5" count="1" selected="0">
            <x v="3"/>
          </reference>
          <reference field="6" count="1" selected="0">
            <x v="4"/>
          </reference>
          <reference field="7" count="14" selected="0">
            <x v="5"/>
            <x v="8"/>
            <x v="14"/>
            <x v="15"/>
            <x v="16"/>
            <x v="17"/>
            <x v="42"/>
            <x v="48"/>
            <x v="49"/>
            <x v="50"/>
            <x v="51"/>
            <x v="52"/>
            <x v="53"/>
            <x v="54"/>
          </reference>
          <reference field="8" count="1" selected="0">
            <x v="1"/>
          </reference>
        </references>
      </pivotArea>
    </format>
    <format dxfId="929">
      <pivotArea outline="0" fieldPosition="0">
        <references count="6">
          <reference field="1" count="1" selected="0">
            <x v="39"/>
          </reference>
          <reference field="2" count="1" selected="0">
            <x v="1"/>
          </reference>
          <reference field="5" count="1" selected="0">
            <x v="3"/>
          </reference>
          <reference field="6" count="6" selected="0">
            <x v="5"/>
            <x v="6"/>
            <x v="7"/>
            <x v="8"/>
            <x v="9"/>
            <x v="10"/>
          </reference>
          <reference field="7" count="1" selected="0">
            <x v="5"/>
          </reference>
          <reference field="8" count="1" selected="0">
            <x v="1"/>
          </reference>
        </references>
      </pivotArea>
    </format>
    <format dxfId="928">
      <pivotArea outline="0" fieldPosition="0">
        <references count="6">
          <reference field="1" count="1" selected="0">
            <x v="39"/>
          </reference>
          <reference field="2" count="1" selected="0">
            <x v="1"/>
          </reference>
          <reference field="5" count="1" selected="0">
            <x v="3"/>
          </reference>
          <reference field="6" count="2" selected="0">
            <x v="0"/>
            <x v="1"/>
          </reference>
          <reference field="7" count="1" selected="0">
            <x v="5"/>
          </reference>
          <reference field="8" count="1" selected="0">
            <x v="1"/>
          </reference>
        </references>
      </pivotArea>
    </format>
    <format dxfId="927">
      <pivotArea outline="0" fieldPosition="0">
        <references count="6">
          <reference field="1" count="1" selected="0">
            <x v="39"/>
          </reference>
          <reference field="2" count="1" selected="0">
            <x v="1"/>
          </reference>
          <reference field="5" count="1" selected="0">
            <x v="3"/>
          </reference>
          <reference field="6" count="3" selected="0">
            <x v="2"/>
            <x v="3"/>
            <x v="4"/>
          </reference>
          <reference field="7" count="1" selected="0">
            <x v="5"/>
          </reference>
          <reference field="8" count="1" selected="0">
            <x v="1"/>
          </reference>
        </references>
      </pivotArea>
    </format>
    <format dxfId="926">
      <pivotArea outline="0" fieldPosition="0">
        <references count="6">
          <reference field="1" count="1" selected="0">
            <x v="18"/>
          </reference>
          <reference field="2" count="1" selected="0">
            <x v="1"/>
          </reference>
          <reference field="5" count="1" selected="0">
            <x v="3"/>
          </reference>
          <reference field="6" count="3" selected="0">
            <x v="2"/>
            <x v="3"/>
            <x v="4"/>
          </reference>
          <reference field="7" count="1" selected="0">
            <x v="18"/>
          </reference>
          <reference field="8" count="1" selected="0">
            <x v="1"/>
          </reference>
        </references>
      </pivotArea>
    </format>
    <format dxfId="925">
      <pivotArea outline="0" fieldPosition="0">
        <references count="6">
          <reference field="1" count="1" selected="0">
            <x v="18"/>
          </reference>
          <reference field="2" count="1" selected="0">
            <x v="1"/>
          </reference>
          <reference field="5" count="1" selected="0">
            <x v="3"/>
          </reference>
          <reference field="6" count="7" selected="0">
            <x v="5"/>
            <x v="6"/>
            <x v="7"/>
            <x v="8"/>
            <x v="9"/>
            <x v="10"/>
            <x v="11"/>
          </reference>
          <reference field="7" count="1" selected="0">
            <x v="18"/>
          </reference>
          <reference field="8" count="1" selected="0">
            <x v="1"/>
          </reference>
        </references>
      </pivotArea>
    </format>
    <format dxfId="924">
      <pivotArea outline="0" fieldPosition="0">
        <references count="6">
          <reference field="1" count="1" selected="0">
            <x v="18"/>
          </reference>
          <reference field="2" count="1" selected="0">
            <x v="6"/>
          </reference>
          <reference field="5" count="1" selected="0">
            <x v="3"/>
          </reference>
          <reference field="6" count="8" selected="0">
            <x v="5"/>
            <x v="6"/>
            <x v="7"/>
            <x v="8"/>
            <x v="9"/>
            <x v="10"/>
            <x v="11"/>
            <x v="12"/>
          </reference>
          <reference field="7" count="1" selected="0">
            <x v="19"/>
          </reference>
          <reference field="8" count="1" selected="0">
            <x v="6"/>
          </reference>
        </references>
      </pivotArea>
    </format>
    <format dxfId="923">
      <pivotArea outline="0" fieldPosition="0">
        <references count="6">
          <reference field="1" count="1" selected="0">
            <x v="18"/>
          </reference>
          <reference field="2" count="1" selected="0">
            <x v="6"/>
          </reference>
          <reference field="5" count="1" selected="0">
            <x v="3"/>
          </reference>
          <reference field="6" count="2" selected="0">
            <x v="1"/>
            <x v="2"/>
          </reference>
          <reference field="7" count="1" selected="0">
            <x v="19"/>
          </reference>
          <reference field="8" count="1" selected="0">
            <x v="6"/>
          </reference>
        </references>
      </pivotArea>
    </format>
    <format dxfId="922">
      <pivotArea outline="0" fieldPosition="0">
        <references count="6">
          <reference field="1" count="1" selected="0">
            <x v="19"/>
          </reference>
          <reference field="2" count="1" selected="0">
            <x v="11"/>
          </reference>
          <reference field="5" count="1" selected="0">
            <x v="3"/>
          </reference>
          <reference field="6" count="7" selected="0">
            <x v="5"/>
            <x v="6"/>
            <x v="7"/>
            <x v="8"/>
            <x v="9"/>
            <x v="10"/>
            <x v="11"/>
          </reference>
          <reference field="7" count="1" selected="0">
            <x v="55"/>
          </reference>
          <reference field="8" count="1" selected="0">
            <x v="1"/>
          </reference>
        </references>
      </pivotArea>
    </format>
    <format dxfId="921">
      <pivotArea outline="0" fieldPosition="0">
        <references count="6">
          <reference field="1" count="1" selected="0">
            <x v="19"/>
          </reference>
          <reference field="2" count="1" selected="0">
            <x v="11"/>
          </reference>
          <reference field="5" count="1" selected="0">
            <x v="3"/>
          </reference>
          <reference field="6" count="3" selected="0">
            <x v="1"/>
            <x v="2"/>
            <x v="3"/>
          </reference>
          <reference field="7" count="1" selected="0">
            <x v="55"/>
          </reference>
          <reference field="8" count="1" selected="0">
            <x v="1"/>
          </reference>
        </references>
      </pivotArea>
    </format>
    <format dxfId="920">
      <pivotArea outline="0" fieldPosition="0">
        <references count="6">
          <reference field="1" count="1" selected="0">
            <x v="19"/>
          </reference>
          <reference field="2" count="1" selected="0">
            <x v="4"/>
          </reference>
          <reference field="5" count="1" selected="0">
            <x v="3"/>
          </reference>
          <reference field="6" count="5" selected="0">
            <x v="5"/>
            <x v="6"/>
            <x v="7"/>
            <x v="8"/>
            <x v="9"/>
          </reference>
          <reference field="7" count="1" selected="0">
            <x v="20"/>
          </reference>
          <reference field="8" count="1" selected="0">
            <x v="1"/>
          </reference>
        </references>
      </pivotArea>
    </format>
    <format dxfId="919">
      <pivotArea outline="0" fieldPosition="0">
        <references count="6">
          <reference field="1" count="1" selected="0">
            <x v="19"/>
          </reference>
          <reference field="2" count="1" selected="0">
            <x v="4"/>
          </reference>
          <reference field="5" count="1" selected="0">
            <x v="3"/>
          </reference>
          <reference field="6" count="3" selected="0">
            <x v="10"/>
            <x v="11"/>
            <x v="12"/>
          </reference>
          <reference field="7" count="1" selected="0">
            <x v="20"/>
          </reference>
          <reference field="8" count="1" selected="0">
            <x v="1"/>
          </reference>
        </references>
      </pivotArea>
    </format>
    <format dxfId="918">
      <pivotArea outline="0" fieldPosition="0">
        <references count="6">
          <reference field="1" count="1" selected="0">
            <x v="10"/>
          </reference>
          <reference field="2" count="1" selected="0">
            <x v="1"/>
          </reference>
          <reference field="5" count="1" selected="0">
            <x v="4"/>
          </reference>
          <reference field="6" count="3" selected="0">
            <x v="10"/>
            <x v="11"/>
            <x v="12"/>
          </reference>
          <reference field="7" count="1" selected="0">
            <x v="44"/>
          </reference>
          <reference field="8" count="1" selected="0">
            <x v="1"/>
          </reference>
        </references>
      </pivotArea>
    </format>
    <format dxfId="917">
      <pivotArea outline="0" fieldPosition="0">
        <references count="6">
          <reference field="1" count="1" selected="0">
            <x v="18"/>
          </reference>
          <reference field="2" count="1" selected="0">
            <x v="6"/>
          </reference>
          <reference field="5" count="1" selected="0">
            <x v="3"/>
          </reference>
          <reference field="6" count="1" selected="0">
            <x v="0"/>
          </reference>
          <reference field="7" count="1" selected="0">
            <x v="19"/>
          </reference>
          <reference field="8" count="1" selected="0">
            <x v="6"/>
          </reference>
        </references>
      </pivotArea>
    </format>
    <format dxfId="916">
      <pivotArea outline="0" fieldPosition="0">
        <references count="6">
          <reference field="1" count="1" selected="0">
            <x v="19"/>
          </reference>
          <reference field="2" count="2" selected="0">
            <x v="4"/>
            <x v="11"/>
          </reference>
          <reference field="5" count="1" selected="0">
            <x v="3"/>
          </reference>
          <reference field="6" count="1" selected="0">
            <x v="0"/>
          </reference>
          <reference field="7" count="2" selected="0">
            <x v="20"/>
            <x v="55"/>
          </reference>
          <reference field="8" count="1" selected="0">
            <x v="1"/>
          </reference>
        </references>
      </pivotArea>
    </format>
    <format dxfId="915">
      <pivotArea outline="0" fieldPosition="0">
        <references count="6">
          <reference field="1" count="1" selected="0">
            <x v="19"/>
          </reference>
          <reference field="2" count="2" selected="0">
            <x v="4"/>
            <x v="11"/>
          </reference>
          <reference field="5" count="1" selected="0">
            <x v="3"/>
          </reference>
          <reference field="6" count="1" selected="0">
            <x v="4"/>
          </reference>
          <reference field="7" count="2" selected="0">
            <x v="20"/>
            <x v="55"/>
          </reference>
          <reference field="8" count="1" selected="0">
            <x v="1"/>
          </reference>
        </references>
      </pivotArea>
    </format>
    <format dxfId="914">
      <pivotArea outline="0" fieldPosition="0">
        <references count="6">
          <reference field="1" count="1" selected="0">
            <x v="10"/>
          </reference>
          <reference field="2" count="1" selected="0">
            <x v="1"/>
          </reference>
          <reference field="5" count="1" selected="0">
            <x v="4"/>
          </reference>
          <reference field="6" count="3" selected="0">
            <x v="5"/>
            <x v="6"/>
            <x v="7"/>
          </reference>
          <reference field="7" count="1" selected="0">
            <x v="44"/>
          </reference>
          <reference field="8" count="1" selected="0">
            <x v="1"/>
          </reference>
        </references>
      </pivotArea>
    </format>
    <format dxfId="913">
      <pivotArea outline="0" fieldPosition="0">
        <references count="6">
          <reference field="1" count="1" selected="0">
            <x v="10"/>
          </reference>
          <reference field="2" count="3" selected="0">
            <x v="1"/>
            <x v="4"/>
            <x v="13"/>
          </reference>
          <reference field="5" count="1" selected="0">
            <x v="4"/>
          </reference>
          <reference field="6" count="2" selected="0">
            <x v="0"/>
            <x v="1"/>
          </reference>
          <reference field="7" count="3" selected="0">
            <x v="44"/>
            <x v="45"/>
            <x v="46"/>
          </reference>
          <reference field="8" count="1" selected="0">
            <x v="1"/>
          </reference>
        </references>
      </pivotArea>
    </format>
    <format dxfId="912">
      <pivotArea outline="0" fieldPosition="0">
        <references count="6">
          <reference field="1" count="1" selected="0">
            <x v="10"/>
          </reference>
          <reference field="2" count="3" selected="0">
            <x v="1"/>
            <x v="4"/>
            <x v="13"/>
          </reference>
          <reference field="5" count="1" selected="0">
            <x v="4"/>
          </reference>
          <reference field="6" count="2" selected="0">
            <x v="3"/>
            <x v="4"/>
          </reference>
          <reference field="7" count="4" selected="0">
            <x v="10"/>
            <x v="44"/>
            <x v="45"/>
            <x v="46"/>
          </reference>
          <reference field="8" count="1" selected="0">
            <x v="1"/>
          </reference>
        </references>
      </pivotArea>
    </format>
    <format dxfId="911">
      <pivotArea outline="0" fieldPosition="0">
        <references count="6">
          <reference field="1" count="1" selected="0">
            <x v="10"/>
          </reference>
          <reference field="2" count="1" selected="0">
            <x v="13"/>
          </reference>
          <reference field="5" count="1" selected="0">
            <x v="4"/>
          </reference>
          <reference field="6" count="6" selected="0">
            <x v="5"/>
            <x v="6"/>
            <x v="7"/>
            <x v="8"/>
            <x v="9"/>
            <x v="10"/>
          </reference>
          <reference field="7" count="1" selected="0">
            <x v="45"/>
          </reference>
          <reference field="8" count="1" selected="0">
            <x v="1"/>
          </reference>
        </references>
      </pivotArea>
    </format>
    <format dxfId="910">
      <pivotArea outline="0" fieldPosition="0">
        <references count="6">
          <reference field="1" count="1" selected="0">
            <x v="18"/>
          </reference>
          <reference field="2" count="1" selected="0">
            <x v="6"/>
          </reference>
          <reference field="5" count="1" selected="0">
            <x v="3"/>
          </reference>
          <reference field="6" count="1" selected="0">
            <x v="13"/>
          </reference>
          <reference field="7" count="1" selected="0">
            <x v="19"/>
          </reference>
          <reference field="8" count="1" selected="0">
            <x v="6"/>
          </reference>
        </references>
      </pivotArea>
    </format>
    <format dxfId="909">
      <pivotArea outline="0" fieldPosition="0">
        <references count="6">
          <reference field="1" count="1" selected="0">
            <x v="19"/>
          </reference>
          <reference field="2" count="2" selected="0">
            <x v="4"/>
            <x v="11"/>
          </reference>
          <reference field="5" count="1" selected="0">
            <x v="3"/>
          </reference>
          <reference field="6" count="1" selected="0">
            <x v="13"/>
          </reference>
          <reference field="7" count="2" selected="0">
            <x v="20"/>
            <x v="55"/>
          </reference>
          <reference field="8" count="1" selected="0">
            <x v="1"/>
          </reference>
        </references>
      </pivotArea>
    </format>
    <format dxfId="908">
      <pivotArea outline="0" fieldPosition="0">
        <references count="6">
          <reference field="1" count="1" selected="0">
            <x v="10"/>
          </reference>
          <reference field="2" count="2" selected="0">
            <x v="1"/>
            <x v="13"/>
          </reference>
          <reference field="5" count="1" selected="0">
            <x v="4"/>
          </reference>
          <reference field="6" count="1" selected="0">
            <x v="13"/>
          </reference>
          <reference field="7" count="2" selected="0">
            <x v="44"/>
            <x v="45"/>
          </reference>
          <reference field="8" count="1" selected="0">
            <x v="1"/>
          </reference>
        </references>
      </pivotArea>
    </format>
    <format dxfId="907">
      <pivotArea outline="0" fieldPosition="0">
        <references count="6">
          <reference field="1" count="1" selected="0">
            <x v="10"/>
          </reference>
          <reference field="2" count="1" selected="0">
            <x v="4"/>
          </reference>
          <reference field="5" count="1" selected="0">
            <x v="4"/>
          </reference>
          <reference field="6" count="5" selected="0">
            <x v="5"/>
            <x v="6"/>
            <x v="7"/>
            <x v="8"/>
            <x v="9"/>
          </reference>
          <reference field="7" count="2" selected="0">
            <x v="10"/>
            <x v="46"/>
          </reference>
          <reference field="8" count="1" selected="0">
            <x v="1"/>
          </reference>
        </references>
      </pivotArea>
    </format>
    <format dxfId="906">
      <pivotArea outline="0" fieldPosition="0">
        <references count="6">
          <reference field="1" count="1" selected="0">
            <x v="10"/>
          </reference>
          <reference field="2" count="1" selected="0">
            <x v="3"/>
          </reference>
          <reference field="5" count="1" selected="0">
            <x v="4"/>
          </reference>
          <reference field="6" count="5" selected="0">
            <x v="5"/>
            <x v="6"/>
            <x v="7"/>
            <x v="8"/>
            <x v="9"/>
          </reference>
          <reference field="7" count="1" selected="0">
            <x v="11"/>
          </reference>
          <reference field="8" count="1" selected="0">
            <x v="2"/>
          </reference>
        </references>
      </pivotArea>
    </format>
    <format dxfId="905">
      <pivotArea outline="0" fieldPosition="0">
        <references count="6">
          <reference field="1" count="1" selected="0">
            <x v="10"/>
          </reference>
          <reference field="2" count="1" selected="0">
            <x v="4"/>
          </reference>
          <reference field="5" count="1" selected="0">
            <x v="4"/>
          </reference>
          <reference field="6" count="2" selected="0">
            <x v="10"/>
            <x v="11"/>
          </reference>
          <reference field="7" count="2" selected="0">
            <x v="10"/>
            <x v="46"/>
          </reference>
          <reference field="8" count="1" selected="0">
            <x v="1"/>
          </reference>
        </references>
      </pivotArea>
    </format>
    <format dxfId="904">
      <pivotArea outline="0" fieldPosition="0">
        <references count="6">
          <reference field="1" count="1" selected="0">
            <x v="10"/>
          </reference>
          <reference field="2" count="1" selected="0">
            <x v="3"/>
          </reference>
          <reference field="5" count="1" selected="0">
            <x v="4"/>
          </reference>
          <reference field="6" count="2" selected="0">
            <x v="10"/>
            <x v="11"/>
          </reference>
          <reference field="7" count="1" selected="0">
            <x v="11"/>
          </reference>
          <reference field="8" count="1" selected="0">
            <x v="2"/>
          </reference>
        </references>
      </pivotArea>
    </format>
    <format dxfId="903">
      <pivotArea outline="0" fieldPosition="0">
        <references count="6">
          <reference field="1" count="1" selected="0">
            <x v="11"/>
          </reference>
          <reference field="2" count="1" selected="0">
            <x v="4"/>
          </reference>
          <reference field="5" count="1" selected="0">
            <x v="4"/>
          </reference>
          <reference field="6" count="2" selected="0">
            <x v="10"/>
            <x v="11"/>
          </reference>
          <reference field="7" count="1" selected="0">
            <x v="35"/>
          </reference>
          <reference field="8" count="1" selected="0">
            <x v="1"/>
          </reference>
        </references>
      </pivotArea>
    </format>
    <format dxfId="902">
      <pivotArea outline="0" fieldPosition="0">
        <references count="6">
          <reference field="1" count="1" selected="0">
            <x v="10"/>
          </reference>
          <reference field="2" count="1" selected="0">
            <x v="3"/>
          </reference>
          <reference field="5" count="1" selected="0">
            <x v="4"/>
          </reference>
          <reference field="6" count="2" selected="0">
            <x v="0"/>
            <x v="1"/>
          </reference>
          <reference field="7" count="1" selected="0">
            <x v="11"/>
          </reference>
          <reference field="8" count="1" selected="0">
            <x v="2"/>
          </reference>
        </references>
      </pivotArea>
    </format>
    <format dxfId="901">
      <pivotArea outline="0" fieldPosition="0">
        <references count="6">
          <reference field="1" count="1" selected="0">
            <x v="11"/>
          </reference>
          <reference field="2" count="2" selected="0">
            <x v="4"/>
            <x v="14"/>
          </reference>
          <reference field="5" count="1" selected="0">
            <x v="4"/>
          </reference>
          <reference field="6" count="2" selected="0">
            <x v="0"/>
            <x v="1"/>
          </reference>
          <reference field="7" count="2" selected="0">
            <x v="35"/>
            <x v="47"/>
          </reference>
          <reference field="8" count="1" selected="0">
            <x v="1"/>
          </reference>
        </references>
      </pivotArea>
    </format>
    <format dxfId="900">
      <pivotArea outline="0" fieldPosition="0">
        <references count="6">
          <reference field="1" count="1" selected="0">
            <x v="11"/>
          </reference>
          <reference field="2" count="1" selected="0">
            <x v="4"/>
          </reference>
          <reference field="5" count="1" selected="0">
            <x v="4"/>
          </reference>
          <reference field="6" count="2" selected="0">
            <x v="5"/>
            <x v="6"/>
          </reference>
          <reference field="7" count="1" selected="0">
            <x v="35"/>
          </reference>
          <reference field="8" count="1" selected="0">
            <x v="1"/>
          </reference>
        </references>
      </pivotArea>
    </format>
    <format dxfId="899">
      <pivotArea outline="0" fieldPosition="0">
        <references count="6">
          <reference field="1" count="1" selected="0">
            <x v="11"/>
          </reference>
          <reference field="2" count="3" selected="0">
            <x v="1"/>
            <x v="4"/>
            <x v="14"/>
          </reference>
          <reference field="5" count="1" selected="0">
            <x v="4"/>
          </reference>
          <reference field="6" count="2" selected="0">
            <x v="3"/>
            <x v="4"/>
          </reference>
          <reference field="7" count="3" selected="0">
            <x v="12"/>
            <x v="35"/>
            <x v="47"/>
          </reference>
          <reference field="8" count="1" selected="0">
            <x v="1"/>
          </reference>
        </references>
      </pivotArea>
    </format>
    <format dxfId="898">
      <pivotArea outline="0" fieldPosition="0">
        <references count="6">
          <reference field="1" count="1" selected="0">
            <x v="11"/>
          </reference>
          <reference field="2" count="1" selected="0">
            <x v="14"/>
          </reference>
          <reference field="5" count="1" selected="0">
            <x v="4"/>
          </reference>
          <reference field="6" count="6" selected="0">
            <x v="5"/>
            <x v="6"/>
            <x v="7"/>
            <x v="8"/>
            <x v="9"/>
            <x v="10"/>
          </reference>
          <reference field="7" count="1" selected="0">
            <x v="47"/>
          </reference>
          <reference field="8" count="1" selected="0">
            <x v="1"/>
          </reference>
        </references>
      </pivotArea>
    </format>
    <format dxfId="897">
      <pivotArea outline="0" fieldPosition="0">
        <references count="6">
          <reference field="1" count="1" selected="0">
            <x v="10"/>
          </reference>
          <reference field="2" count="1" selected="0">
            <x v="4"/>
          </reference>
          <reference field="5" count="1" selected="0">
            <x v="4"/>
          </reference>
          <reference field="6" count="1" selected="0">
            <x v="12"/>
          </reference>
          <reference field="7" count="1" selected="0">
            <x v="10"/>
          </reference>
          <reference field="8" count="1" selected="0">
            <x v="1"/>
          </reference>
        </references>
      </pivotArea>
    </format>
    <format dxfId="896">
      <pivotArea outline="0" fieldPosition="0">
        <references count="6">
          <reference field="1" count="1" selected="0">
            <x v="10"/>
          </reference>
          <reference field="2" count="1" selected="0">
            <x v="3"/>
          </reference>
          <reference field="5" count="1" selected="0">
            <x v="4"/>
          </reference>
          <reference field="6" count="1" selected="0">
            <x v="12"/>
          </reference>
          <reference field="7" count="1" selected="0">
            <x v="11"/>
          </reference>
          <reference field="8" count="1" selected="0">
            <x v="2"/>
          </reference>
        </references>
      </pivotArea>
    </format>
    <format dxfId="895">
      <pivotArea outline="0" fieldPosition="0">
        <references count="6">
          <reference field="1" count="1" selected="0">
            <x v="11"/>
          </reference>
          <reference field="2" count="2" selected="0">
            <x v="4"/>
            <x v="14"/>
          </reference>
          <reference field="5" count="1" selected="0">
            <x v="4"/>
          </reference>
          <reference field="6" count="1" selected="0">
            <x v="12"/>
          </reference>
          <reference field="7" count="2" selected="0">
            <x v="35"/>
            <x v="47"/>
          </reference>
          <reference field="8" count="1" selected="0">
            <x v="1"/>
          </reference>
        </references>
      </pivotArea>
    </format>
    <format dxfId="894">
      <pivotArea outline="0" fieldPosition="0">
        <references count="6">
          <reference field="1" count="1" selected="0">
            <x v="11"/>
          </reference>
          <reference field="2" count="1" selected="0">
            <x v="1"/>
          </reference>
          <reference field="5" count="1" selected="0">
            <x v="4"/>
          </reference>
          <reference field="6" count="8" selected="0">
            <x v="5"/>
            <x v="6"/>
            <x v="7"/>
            <x v="8"/>
            <x v="9"/>
            <x v="10"/>
            <x v="11"/>
            <x v="12"/>
          </reference>
          <reference field="7" count="1" selected="0">
            <x v="12"/>
          </reference>
          <reference field="8" count="1" selected="0">
            <x v="1"/>
          </reference>
        </references>
      </pivotArea>
    </format>
    <format dxfId="893">
      <pivotArea outline="0" fieldPosition="0">
        <references count="6">
          <reference field="1" count="1" selected="0">
            <x v="11"/>
          </reference>
          <reference field="2" count="1" selected="0">
            <x v="1"/>
          </reference>
          <reference field="5" count="1" selected="0">
            <x v="4"/>
          </reference>
          <reference field="6" count="8" selected="0">
            <x v="5"/>
            <x v="6"/>
            <x v="7"/>
            <x v="8"/>
            <x v="9"/>
            <x v="10"/>
            <x v="11"/>
            <x v="12"/>
          </reference>
          <reference field="7" count="1" selected="0">
            <x v="11"/>
          </reference>
          <reference field="8" count="1" selected="0">
            <x v="4"/>
          </reference>
        </references>
      </pivotArea>
    </format>
    <format dxfId="892">
      <pivotArea outline="0" fieldPosition="0">
        <references count="6">
          <reference field="1" count="1" selected="0">
            <x v="12"/>
          </reference>
          <reference field="2" count="1" selected="0">
            <x v="1"/>
          </reference>
          <reference field="5" count="1" selected="0">
            <x v="4"/>
          </reference>
          <reference field="6" count="7" selected="0">
            <x v="5"/>
            <x v="6"/>
            <x v="7"/>
            <x v="8"/>
            <x v="9"/>
            <x v="10"/>
            <x v="11"/>
          </reference>
          <reference field="7" count="1" selected="0">
            <x v="46"/>
          </reference>
          <reference field="8" count="1" selected="0">
            <x v="1"/>
          </reference>
        </references>
      </pivotArea>
    </format>
    <format dxfId="891">
      <pivotArea outline="0" fieldPosition="0">
        <references count="6">
          <reference field="1" count="1" selected="0">
            <x v="11"/>
          </reference>
          <reference field="2" count="1" selected="0">
            <x v="1"/>
          </reference>
          <reference field="5" count="1" selected="0">
            <x v="4"/>
          </reference>
          <reference field="6" count="1" selected="0">
            <x v="0"/>
          </reference>
          <reference field="7" count="1" selected="0">
            <x v="11"/>
          </reference>
          <reference field="8" count="1" selected="0">
            <x v="4"/>
          </reference>
        </references>
      </pivotArea>
    </format>
    <format dxfId="890">
      <pivotArea outline="0" fieldPosition="0">
        <references count="6">
          <reference field="1" count="1" selected="0">
            <x v="12"/>
          </reference>
          <reference field="2" count="1" selected="0">
            <x v="1"/>
          </reference>
          <reference field="5" count="1" selected="0">
            <x v="4"/>
          </reference>
          <reference field="6" count="1" selected="0">
            <x v="0"/>
          </reference>
          <reference field="7" count="1" selected="0">
            <x v="46"/>
          </reference>
          <reference field="8" count="1" selected="0">
            <x v="1"/>
          </reference>
        </references>
      </pivotArea>
    </format>
    <format dxfId="889">
      <pivotArea outline="0" fieldPosition="0">
        <references count="6">
          <reference field="1" count="1" selected="0">
            <x v="12"/>
          </reference>
          <reference field="2" count="2" selected="0">
            <x v="1"/>
            <x v="6"/>
          </reference>
          <reference field="5" count="1" selected="0">
            <x v="4"/>
          </reference>
          <reference field="6" count="8" selected="0">
            <x v="5"/>
            <x v="6"/>
            <x v="7"/>
            <x v="8"/>
            <x v="9"/>
            <x v="10"/>
            <x v="11"/>
            <x v="12"/>
          </reference>
          <reference field="7" count="2" selected="0">
            <x v="10"/>
            <x v="13"/>
          </reference>
          <reference field="8" count="1" selected="0">
            <x v="1"/>
          </reference>
        </references>
      </pivotArea>
    </format>
    <format dxfId="888">
      <pivotArea outline="0" fieldPosition="0">
        <references count="6">
          <reference field="1" count="1" selected="0">
            <x v="22"/>
          </reference>
          <reference field="2" count="1" selected="0">
            <x v="4"/>
          </reference>
          <reference field="5" count="1" selected="0">
            <x v="5"/>
          </reference>
          <reference field="6" count="8" selected="0">
            <x v="5"/>
            <x v="6"/>
            <x v="7"/>
            <x v="8"/>
            <x v="9"/>
            <x v="10"/>
            <x v="11"/>
            <x v="12"/>
          </reference>
          <reference field="7" count="1" selected="0">
            <x v="15"/>
          </reference>
          <reference field="8" count="1" selected="0">
            <x v="1"/>
          </reference>
        </references>
      </pivotArea>
    </format>
    <format dxfId="887">
      <pivotArea outline="0" fieldPosition="0">
        <references count="6">
          <reference field="1" count="2" selected="0">
            <x v="10"/>
            <x v="11"/>
          </reference>
          <reference field="2" count="5" selected="0">
            <x v="1"/>
            <x v="3"/>
            <x v="4"/>
            <x v="13"/>
            <x v="14"/>
          </reference>
          <reference field="5" count="1" selected="0">
            <x v="4"/>
          </reference>
          <reference field="6" count="1" selected="0">
            <x v="2"/>
          </reference>
          <reference field="7" count="8" selected="0">
            <x v="10"/>
            <x v="11"/>
            <x v="12"/>
            <x v="35"/>
            <x v="44"/>
            <x v="45"/>
            <x v="46"/>
            <x v="47"/>
          </reference>
          <reference field="8" count="3" selected="0">
            <x v="1"/>
            <x v="2"/>
            <x v="4"/>
          </reference>
        </references>
      </pivotArea>
    </format>
    <format dxfId="886">
      <pivotArea outline="0" fieldPosition="0">
        <references count="6">
          <reference field="1" count="1" selected="0">
            <x v="12"/>
          </reference>
          <reference field="2" count="1" selected="0">
            <x v="1"/>
          </reference>
          <reference field="5" count="1" selected="0">
            <x v="4"/>
          </reference>
          <reference field="6" count="1" selected="0">
            <x v="2"/>
          </reference>
          <reference field="7" count="2" selected="0">
            <x v="10"/>
            <x v="46"/>
          </reference>
          <reference field="8" count="1" selected="0">
            <x v="1"/>
          </reference>
        </references>
      </pivotArea>
    </format>
    <format dxfId="885">
      <pivotArea outline="0" fieldPosition="0">
        <references count="6">
          <reference field="1" count="1" selected="0">
            <x v="11"/>
          </reference>
          <reference field="2" count="1" selected="0">
            <x v="1"/>
          </reference>
          <reference field="5" count="1" selected="0">
            <x v="4"/>
          </reference>
          <reference field="6" count="1" selected="0">
            <x v="1"/>
          </reference>
          <reference field="7" count="1" selected="0">
            <x v="11"/>
          </reference>
          <reference field="8" count="1" selected="0">
            <x v="4"/>
          </reference>
        </references>
      </pivotArea>
    </format>
    <format dxfId="884">
      <pivotArea outline="0" fieldPosition="0">
        <references count="6">
          <reference field="1" count="1" selected="0">
            <x v="12"/>
          </reference>
          <reference field="2" count="2" selected="0">
            <x v="1"/>
            <x v="6"/>
          </reference>
          <reference field="5" count="1" selected="0">
            <x v="4"/>
          </reference>
          <reference field="6" count="1" selected="0">
            <x v="1"/>
          </reference>
          <reference field="7" count="3" selected="0">
            <x v="10"/>
            <x v="13"/>
            <x v="46"/>
          </reference>
          <reference field="8" count="1" selected="0">
            <x v="1"/>
          </reference>
        </references>
      </pivotArea>
    </format>
    <format dxfId="883">
      <pivotArea outline="0" fieldPosition="0">
        <references count="6">
          <reference field="1" count="1" selected="0">
            <x v="12"/>
          </reference>
          <reference field="2" count="2" selected="0">
            <x v="1"/>
            <x v="6"/>
          </reference>
          <reference field="5" count="1" selected="0">
            <x v="4"/>
          </reference>
          <reference field="6" count="1" selected="0">
            <x v="3"/>
          </reference>
          <reference field="7" count="3" selected="0">
            <x v="10"/>
            <x v="13"/>
            <x v="46"/>
          </reference>
          <reference field="8" count="1" selected="0">
            <x v="1"/>
          </reference>
        </references>
      </pivotArea>
    </format>
    <format dxfId="882">
      <pivotArea outline="0" fieldPosition="0">
        <references count="6">
          <reference field="1" count="1" selected="0">
            <x v="23"/>
          </reference>
          <reference field="2" count="1" selected="0">
            <x v="15"/>
          </reference>
          <reference field="5" count="1" selected="0">
            <x v="5"/>
          </reference>
          <reference field="6" count="7" selected="0">
            <x v="5"/>
            <x v="6"/>
            <x v="7"/>
            <x v="8"/>
            <x v="9"/>
            <x v="10"/>
            <x v="11"/>
          </reference>
          <reference field="7" count="1" selected="0">
            <x v="56"/>
          </reference>
          <reference field="8" count="1" selected="0">
            <x v="1"/>
          </reference>
        </references>
      </pivotArea>
    </format>
    <format dxfId="881">
      <pivotArea outline="0" fieldPosition="0">
        <references count="6">
          <reference field="1" count="1" selected="0">
            <x v="10"/>
          </reference>
          <reference field="2" count="1" selected="0">
            <x v="4"/>
          </reference>
          <reference field="5" count="1" selected="0">
            <x v="4"/>
          </reference>
          <reference field="6" count="1" selected="0">
            <x v="13"/>
          </reference>
          <reference field="7" count="1" selected="0">
            <x v="10"/>
          </reference>
          <reference field="8" count="1" selected="0">
            <x v="1"/>
          </reference>
        </references>
      </pivotArea>
    </format>
    <format dxfId="880">
      <pivotArea outline="0" fieldPosition="0">
        <references count="6">
          <reference field="1" count="1" selected="0">
            <x v="10"/>
          </reference>
          <reference field="2" count="1" selected="0">
            <x v="3"/>
          </reference>
          <reference field="5" count="1" selected="0">
            <x v="4"/>
          </reference>
          <reference field="6" count="1" selected="0">
            <x v="13"/>
          </reference>
          <reference field="7" count="1" selected="0">
            <x v="11"/>
          </reference>
          <reference field="8" count="1" selected="0">
            <x v="2"/>
          </reference>
        </references>
      </pivotArea>
    </format>
    <format dxfId="879">
      <pivotArea outline="0" fieldPosition="0">
        <references count="6">
          <reference field="1" count="2" selected="0">
            <x v="11"/>
            <x v="12"/>
          </reference>
          <reference field="2" count="4" selected="0">
            <x v="1"/>
            <x v="4"/>
            <x v="6"/>
            <x v="14"/>
          </reference>
          <reference field="5" count="1" selected="0">
            <x v="4"/>
          </reference>
          <reference field="6" count="1" selected="0">
            <x v="13"/>
          </reference>
          <reference field="7" count="7" selected="0">
            <x v="10"/>
            <x v="11"/>
            <x v="12"/>
            <x v="13"/>
            <x v="35"/>
            <x v="46"/>
            <x v="47"/>
          </reference>
          <reference field="8" count="2" selected="0">
            <x v="1"/>
            <x v="4"/>
          </reference>
        </references>
      </pivotArea>
    </format>
    <format dxfId="878">
      <pivotArea outline="0" fieldPosition="0">
        <references count="6">
          <reference field="1" count="1" selected="0">
            <x v="22"/>
          </reference>
          <reference field="2" count="1" selected="0">
            <x v="4"/>
          </reference>
          <reference field="5" count="1" selected="0">
            <x v="5"/>
          </reference>
          <reference field="6" count="1" selected="0">
            <x v="13"/>
          </reference>
          <reference field="7" count="1" selected="0">
            <x v="15"/>
          </reference>
          <reference field="8" count="1" selected="0">
            <x v="1"/>
          </reference>
        </references>
      </pivotArea>
    </format>
    <format dxfId="877">
      <pivotArea outline="0" fieldPosition="0">
        <references count="6">
          <reference field="1" count="1" selected="0">
            <x v="23"/>
          </reference>
          <reference field="2" count="1" selected="0">
            <x v="15"/>
          </reference>
          <reference field="5" count="1" selected="0">
            <x v="5"/>
          </reference>
          <reference field="6" count="1" selected="0">
            <x v="13"/>
          </reference>
          <reference field="7" count="1" selected="0">
            <x v="56"/>
          </reference>
          <reference field="8" count="1" selected="0">
            <x v="1"/>
          </reference>
        </references>
      </pivotArea>
    </format>
    <format dxfId="876">
      <pivotArea outline="0" fieldPosition="0">
        <references count="6">
          <reference field="1" count="1" selected="0">
            <x v="23"/>
          </reference>
          <reference field="2" count="1" selected="0">
            <x v="1"/>
          </reference>
          <reference field="5" count="1" selected="0">
            <x v="5"/>
          </reference>
          <reference field="6" count="8" selected="0">
            <x v="5"/>
            <x v="6"/>
            <x v="7"/>
            <x v="8"/>
            <x v="9"/>
            <x v="10"/>
            <x v="11"/>
            <x v="12"/>
          </reference>
          <reference field="7" count="1" selected="0">
            <x v="38"/>
          </reference>
          <reference field="8" count="1" selected="0">
            <x v="1"/>
          </reference>
        </references>
      </pivotArea>
    </format>
    <format dxfId="875">
      <pivotArea outline="0" fieldPosition="0">
        <references count="6">
          <reference field="1" count="1" selected="0">
            <x v="12"/>
          </reference>
          <reference field="2" count="1" selected="0">
            <x v="6"/>
          </reference>
          <reference field="5" count="1" selected="0">
            <x v="4"/>
          </reference>
          <reference field="6" count="1" selected="0">
            <x v="0"/>
          </reference>
          <reference field="7" count="1" selected="0">
            <x v="13"/>
          </reference>
          <reference field="8" count="1" selected="0">
            <x v="1"/>
          </reference>
        </references>
      </pivotArea>
    </format>
    <format dxfId="874">
      <pivotArea outline="0" fieldPosition="0">
        <references count="6">
          <reference field="1" count="1" selected="0">
            <x v="22"/>
          </reference>
          <reference field="2" count="1" selected="0">
            <x v="4"/>
          </reference>
          <reference field="5" count="1" selected="0">
            <x v="5"/>
          </reference>
          <reference field="6" count="1" selected="0">
            <x v="0"/>
          </reference>
          <reference field="7" count="1" selected="0">
            <x v="15"/>
          </reference>
          <reference field="8" count="1" selected="0">
            <x v="1"/>
          </reference>
        </references>
      </pivotArea>
    </format>
    <format dxfId="873">
      <pivotArea outline="0" fieldPosition="0">
        <references count="6">
          <reference field="1" count="1" selected="0">
            <x v="23"/>
          </reference>
          <reference field="2" count="2" selected="0">
            <x v="1"/>
            <x v="15"/>
          </reference>
          <reference field="5" count="1" selected="0">
            <x v="5"/>
          </reference>
          <reference field="6" count="1" selected="0">
            <x v="0"/>
          </reference>
          <reference field="7" count="2" selected="0">
            <x v="38"/>
            <x v="56"/>
          </reference>
          <reference field="8" count="1" selected="0">
            <x v="1"/>
          </reference>
        </references>
      </pivotArea>
    </format>
    <format dxfId="872">
      <pivotArea outline="0" fieldPosition="0">
        <references count="6">
          <reference field="1" count="1" selected="0">
            <x v="23"/>
          </reference>
          <reference field="2" count="1" selected="0">
            <x v="4"/>
          </reference>
          <reference field="5" count="1" selected="0">
            <x v="5"/>
          </reference>
          <reference field="6" count="9" selected="0">
            <x v="5"/>
            <x v="6"/>
            <x v="7"/>
            <x v="8"/>
            <x v="9"/>
            <x v="10"/>
            <x v="11"/>
            <x v="12"/>
            <x v="13"/>
          </reference>
          <reference field="7" count="1" selected="0">
            <x v="22"/>
          </reference>
          <reference field="8" count="1" selected="0">
            <x v="1"/>
          </reference>
        </references>
      </pivotArea>
    </format>
    <format dxfId="871">
      <pivotArea outline="0" fieldPosition="0">
        <references count="6">
          <reference field="1" count="1" selected="0">
            <x v="23"/>
          </reference>
          <reference field="2" count="3" selected="0">
            <x v="1"/>
            <x v="4"/>
            <x v="15"/>
          </reference>
          <reference field="5" count="1" selected="0">
            <x v="5"/>
          </reference>
          <reference field="6" count="1" selected="0">
            <x v="1"/>
          </reference>
          <reference field="7" count="3" selected="0">
            <x v="22"/>
            <x v="38"/>
            <x v="56"/>
          </reference>
          <reference field="8" count="1" selected="0">
            <x v="1"/>
          </reference>
        </references>
      </pivotArea>
    </format>
    <format dxfId="870">
      <pivotArea outline="0" fieldPosition="0">
        <references count="6">
          <reference field="1" count="1" selected="0">
            <x v="23"/>
          </reference>
          <reference field="2" count="1" selected="0">
            <x v="4"/>
          </reference>
          <reference field="5" count="1" selected="0">
            <x v="5"/>
          </reference>
          <reference field="6" count="10" selected="0">
            <x v="0"/>
            <x v="5"/>
            <x v="6"/>
            <x v="7"/>
            <x v="8"/>
            <x v="9"/>
            <x v="10"/>
            <x v="11"/>
            <x v="12"/>
            <x v="13"/>
          </reference>
          <reference field="7" count="1" selected="0">
            <x v="23"/>
          </reference>
          <reference field="8" count="1" selected="0">
            <x v="1"/>
          </reference>
        </references>
      </pivotArea>
    </format>
    <format dxfId="869">
      <pivotArea outline="0" fieldPosition="0">
        <references count="6">
          <reference field="1" count="1" selected="0">
            <x v="23"/>
          </reference>
          <reference field="2" count="3" selected="0">
            <x v="1"/>
            <x v="4"/>
            <x v="15"/>
          </reference>
          <reference field="5" count="1" selected="0">
            <x v="5"/>
          </reference>
          <reference field="6" count="1" selected="0">
            <x v="2"/>
          </reference>
          <reference field="7" count="4" selected="0">
            <x v="22"/>
            <x v="23"/>
            <x v="38"/>
            <x v="56"/>
          </reference>
          <reference field="8" count="1" selected="0">
            <x v="1"/>
          </reference>
        </references>
      </pivotArea>
    </format>
    <format dxfId="868">
      <pivotArea outline="0" fieldPosition="0">
        <references count="6">
          <reference field="1" count="1" selected="0">
            <x v="23"/>
          </reference>
          <reference field="2" count="1" selected="0">
            <x v="4"/>
          </reference>
          <reference field="5" count="1" selected="0">
            <x v="5"/>
          </reference>
          <reference field="6" count="11" selected="0">
            <x v="0"/>
            <x v="1"/>
            <x v="5"/>
            <x v="6"/>
            <x v="7"/>
            <x v="8"/>
            <x v="9"/>
            <x v="10"/>
            <x v="11"/>
            <x v="12"/>
            <x v="13"/>
          </reference>
          <reference field="7" count="1" selected="0">
            <x v="9"/>
          </reference>
          <reference field="8" count="1" selected="0">
            <x v="1"/>
          </reference>
        </references>
      </pivotArea>
    </format>
    <format dxfId="867">
      <pivotArea outline="0" fieldPosition="0">
        <references count="6">
          <reference field="1" count="1" selected="0">
            <x v="23"/>
          </reference>
          <reference field="2" count="3" selected="0">
            <x v="1"/>
            <x v="4"/>
            <x v="15"/>
          </reference>
          <reference field="5" count="1" selected="0">
            <x v="5"/>
          </reference>
          <reference field="6" count="1" selected="0">
            <x v="3"/>
          </reference>
          <reference field="7" count="5" selected="0">
            <x v="9"/>
            <x v="22"/>
            <x v="23"/>
            <x v="38"/>
            <x v="56"/>
          </reference>
          <reference field="8" count="1" selected="0">
            <x v="1"/>
          </reference>
        </references>
      </pivotArea>
    </format>
    <format dxfId="866">
      <pivotArea outline="0" fieldPosition="0">
        <references count="6">
          <reference field="1" count="1" selected="0">
            <x v="23"/>
          </reference>
          <reference field="2" count="1" selected="0">
            <x v="4"/>
          </reference>
          <reference field="5" count="1" selected="0">
            <x v="5"/>
          </reference>
          <reference field="6" count="12" selected="0">
            <x v="0"/>
            <x v="1"/>
            <x v="2"/>
            <x v="5"/>
            <x v="6"/>
            <x v="7"/>
            <x v="8"/>
            <x v="9"/>
            <x v="10"/>
            <x v="11"/>
            <x v="12"/>
            <x v="13"/>
          </reference>
          <reference field="7" count="1" selected="0">
            <x v="24"/>
          </reference>
          <reference field="8" count="1" selected="0">
            <x v="1"/>
          </reference>
        </references>
      </pivotArea>
    </format>
    <format dxfId="865">
      <pivotArea outline="0" fieldPosition="0">
        <references count="6">
          <reference field="1" count="1" selected="0">
            <x v="12"/>
          </reference>
          <reference field="2" count="2" selected="0">
            <x v="1"/>
            <x v="6"/>
          </reference>
          <reference field="5" count="1" selected="0">
            <x v="4"/>
          </reference>
          <reference field="6" count="1" selected="0">
            <x v="4"/>
          </reference>
          <reference field="7" count="3" selected="0">
            <x v="10"/>
            <x v="13"/>
            <x v="46"/>
          </reference>
          <reference field="8" count="1" selected="0">
            <x v="1"/>
          </reference>
        </references>
      </pivotArea>
    </format>
    <format dxfId="864">
      <pivotArea outline="0" fieldPosition="0">
        <references count="6">
          <reference field="1" count="2" selected="0">
            <x v="22"/>
            <x v="23"/>
          </reference>
          <reference field="2" count="3" selected="0">
            <x v="1"/>
            <x v="4"/>
            <x v="15"/>
          </reference>
          <reference field="5" count="1" selected="0">
            <x v="5"/>
          </reference>
          <reference field="6" count="1" selected="0">
            <x v="4"/>
          </reference>
          <reference field="7" count="7" selected="0">
            <x v="9"/>
            <x v="15"/>
            <x v="22"/>
            <x v="23"/>
            <x v="24"/>
            <x v="38"/>
            <x v="56"/>
          </reference>
          <reference field="8" count="1" selected="0">
            <x v="1"/>
          </reference>
        </references>
      </pivotArea>
    </format>
    <format dxfId="863">
      <pivotArea outline="0" fieldPosition="0">
        <references count="6">
          <reference field="1" count="1" selected="0">
            <x v="24"/>
          </reference>
          <reference field="2" count="1" selected="0">
            <x v="6"/>
          </reference>
          <reference field="5" count="1" selected="0">
            <x v="5"/>
          </reference>
          <reference field="6" count="7" selected="0">
            <x v="5"/>
            <x v="6"/>
            <x v="7"/>
            <x v="8"/>
            <x v="9"/>
            <x v="10"/>
            <x v="11"/>
          </reference>
          <reference field="7" count="1" selected="0">
            <x v="48"/>
          </reference>
          <reference field="8" count="1" selected="0">
            <x v="1"/>
          </reference>
        </references>
      </pivotArea>
    </format>
    <format dxfId="862">
      <pivotArea outline="0" fieldPosition="0">
        <references count="6">
          <reference field="1" count="1" selected="0">
            <x v="24"/>
          </reference>
          <reference field="2" count="1" selected="0">
            <x v="6"/>
          </reference>
          <reference field="5" count="1" selected="0">
            <x v="5"/>
          </reference>
          <reference field="6" count="2" selected="0">
            <x v="0"/>
            <x v="1"/>
          </reference>
          <reference field="7" count="1" selected="0">
            <x v="48"/>
          </reference>
          <reference field="8" count="1" selected="0">
            <x v="1"/>
          </reference>
        </references>
      </pivotArea>
    </format>
    <format dxfId="861">
      <pivotArea outline="0" fieldPosition="0">
        <references count="6">
          <reference field="1" count="1" selected="0">
            <x v="24"/>
          </reference>
          <reference field="2" count="2" selected="0">
            <x v="6"/>
            <x v="9"/>
          </reference>
          <reference field="5" count="1" selected="0">
            <x v="5"/>
          </reference>
          <reference field="6" count="3" selected="0">
            <x v="2"/>
            <x v="3"/>
            <x v="4"/>
          </reference>
          <reference field="7" count="2" selected="0">
            <x v="25"/>
            <x v="48"/>
          </reference>
          <reference field="8" count="1" selected="0">
            <x v="1"/>
          </reference>
        </references>
      </pivotArea>
    </format>
    <format dxfId="860">
      <pivotArea outline="0" fieldPosition="0">
        <references count="6">
          <reference field="1" count="1" selected="0">
            <x v="24"/>
          </reference>
          <reference field="2" count="1" selected="0">
            <x v="9"/>
          </reference>
          <reference field="5" count="1" selected="0">
            <x v="5"/>
          </reference>
          <reference field="6" count="10" selected="0">
            <x v="0"/>
            <x v="5"/>
            <x v="6"/>
            <x v="7"/>
            <x v="8"/>
            <x v="9"/>
            <x v="10"/>
            <x v="11"/>
            <x v="12"/>
            <x v="13"/>
          </reference>
          <reference field="7" count="1" selected="0">
            <x v="25"/>
          </reference>
          <reference field="8" count="1" selected="0">
            <x v="1"/>
          </reference>
        </references>
      </pivotArea>
    </format>
    <format dxfId="859">
      <pivotArea outline="0" fieldPosition="0">
        <references count="6">
          <reference field="1" count="1" selected="0">
            <x v="24"/>
          </reference>
          <reference field="2" count="1" selected="0">
            <x v="1"/>
          </reference>
          <reference field="5" count="1" selected="0">
            <x v="5"/>
          </reference>
          <reference field="6" count="11" selected="0">
            <x v="0"/>
            <x v="1"/>
            <x v="5"/>
            <x v="6"/>
            <x v="7"/>
            <x v="8"/>
            <x v="9"/>
            <x v="10"/>
            <x v="11"/>
            <x v="12"/>
            <x v="13"/>
          </reference>
          <reference field="7" count="1" selected="0">
            <x v="26"/>
          </reference>
          <reference field="8" count="1" selected="0">
            <x v="4"/>
          </reference>
        </references>
      </pivotArea>
    </format>
    <format dxfId="858">
      <pivotArea outline="0" fieldPosition="0">
        <references count="6">
          <reference field="1" count="1" selected="0">
            <x v="26"/>
          </reference>
          <reference field="2" count="1" selected="0">
            <x v="1"/>
          </reference>
          <reference field="5" count="1" selected="0">
            <x v="6"/>
          </reference>
          <reference field="6" count="10" selected="0">
            <x v="0"/>
            <x v="5"/>
            <x v="6"/>
            <x v="7"/>
            <x v="8"/>
            <x v="9"/>
            <x v="10"/>
            <x v="11"/>
            <x v="12"/>
            <x v="13"/>
          </reference>
          <reference field="7" count="1" selected="0">
            <x v="17"/>
          </reference>
          <reference field="8" count="1" selected="0">
            <x v="1"/>
          </reference>
        </references>
      </pivotArea>
    </format>
    <format dxfId="857">
      <pivotArea outline="0" fieldPosition="0">
        <references count="6">
          <reference field="1" count="1" selected="0">
            <x v="26"/>
          </reference>
          <reference field="2" count="1" selected="0">
            <x v="1"/>
          </reference>
          <reference field="5" count="1" selected="0">
            <x v="6"/>
          </reference>
          <reference field="6" count="2" selected="0">
            <x v="2"/>
            <x v="3"/>
          </reference>
          <reference field="7" count="1" selected="0">
            <x v="17"/>
          </reference>
          <reference field="8" count="1" selected="0">
            <x v="1"/>
          </reference>
        </references>
      </pivotArea>
    </format>
    <format dxfId="856">
      <pivotArea outline="0" fieldPosition="0">
        <references count="6">
          <reference field="1" count="1" selected="0">
            <x v="27"/>
          </reference>
          <reference field="2" count="1" selected="0">
            <x v="6"/>
          </reference>
          <reference field="5" count="1" selected="0">
            <x v="6"/>
          </reference>
          <reference field="6" count="6" selected="0">
            <x v="5"/>
            <x v="6"/>
            <x v="7"/>
            <x v="8"/>
            <x v="9"/>
            <x v="10"/>
          </reference>
          <reference field="7" count="1" selected="0">
            <x v="57"/>
          </reference>
          <reference field="8" count="1" selected="0">
            <x v="1"/>
          </reference>
        </references>
      </pivotArea>
    </format>
    <format dxfId="855">
      <pivotArea outline="0" fieldPosition="0">
        <references count="6">
          <reference field="1" count="1" selected="0">
            <x v="27"/>
          </reference>
          <reference field="2" count="1" selected="0">
            <x v="6"/>
          </reference>
          <reference field="5" count="1" selected="0">
            <x v="6"/>
          </reference>
          <reference field="6" count="6" selected="0">
            <x v="0"/>
            <x v="1"/>
            <x v="2"/>
            <x v="3"/>
            <x v="12"/>
            <x v="13"/>
          </reference>
          <reference field="7" count="1" selected="0">
            <x v="57"/>
          </reference>
          <reference field="8" count="1" selected="0">
            <x v="1"/>
          </reference>
        </references>
      </pivotArea>
    </format>
    <format dxfId="854">
      <pivotArea outline="0" fieldPosition="0">
        <references count="6">
          <reference field="1" count="1" selected="0">
            <x v="27"/>
          </reference>
          <reference field="2" count="1" selected="0">
            <x v="4"/>
          </reference>
          <reference field="5" count="1" selected="0">
            <x v="6"/>
          </reference>
          <reference field="6" count="5" selected="0">
            <x v="5"/>
            <x v="6"/>
            <x v="7"/>
            <x v="8"/>
            <x v="9"/>
          </reference>
          <reference field="7" count="1" selected="0">
            <x v="20"/>
          </reference>
          <reference field="8" count="1" selected="0">
            <x v="1"/>
          </reference>
        </references>
      </pivotArea>
    </format>
    <format dxfId="853">
      <pivotArea outline="0" fieldPosition="0">
        <references count="6">
          <reference field="1" count="1" selected="0">
            <x v="27"/>
          </reference>
          <reference field="2" count="1" selected="0">
            <x v="4"/>
          </reference>
          <reference field="5" count="1" selected="0">
            <x v="6"/>
          </reference>
          <reference field="6" count="5" selected="0">
            <x v="0"/>
            <x v="10"/>
            <x v="11"/>
            <x v="12"/>
            <x v="13"/>
          </reference>
          <reference field="7" count="1" selected="0">
            <x v="20"/>
          </reference>
          <reference field="8" count="1" selected="0">
            <x v="1"/>
          </reference>
        </references>
      </pivotArea>
    </format>
    <format dxfId="852">
      <pivotArea outline="0" fieldPosition="0">
        <references count="6">
          <reference field="1" count="1" selected="0">
            <x v="40"/>
          </reference>
          <reference field="2" count="1" selected="0">
            <x v="1"/>
          </reference>
          <reference field="5" count="1" selected="0">
            <x v="6"/>
          </reference>
          <reference field="6" count="5" selected="0">
            <x v="0"/>
            <x v="10"/>
            <x v="11"/>
            <x v="12"/>
            <x v="13"/>
          </reference>
          <reference field="7" count="1" selected="0">
            <x v="58"/>
          </reference>
          <reference field="8" count="1" selected="0">
            <x v="1"/>
          </reference>
        </references>
      </pivotArea>
    </format>
    <format dxfId="851">
      <pivotArea outline="0" fieldPosition="0">
        <references count="6">
          <reference field="1" count="2" selected="0">
            <x v="26"/>
            <x v="27"/>
          </reference>
          <reference field="2" count="3" selected="0">
            <x v="1"/>
            <x v="4"/>
            <x v="6"/>
          </reference>
          <reference field="5" count="1" selected="0">
            <x v="6"/>
          </reference>
          <reference field="6" count="1" selected="0">
            <x v="4"/>
          </reference>
          <reference field="7" count="3" selected="0">
            <x v="17"/>
            <x v="20"/>
            <x v="57"/>
          </reference>
          <reference field="8" count="1" selected="0">
            <x v="1"/>
          </reference>
        </references>
      </pivotArea>
    </format>
    <format dxfId="850">
      <pivotArea outline="0" fieldPosition="0">
        <references count="6">
          <reference field="1" count="1" selected="0">
            <x v="40"/>
          </reference>
          <reference field="2" count="1" selected="0">
            <x v="1"/>
          </reference>
          <reference field="5" count="1" selected="0">
            <x v="6"/>
          </reference>
          <reference field="6" count="4" selected="0">
            <x v="5"/>
            <x v="6"/>
            <x v="7"/>
            <x v="8"/>
          </reference>
          <reference field="7" count="1" selected="0">
            <x v="58"/>
          </reference>
          <reference field="8" count="1" selected="0">
            <x v="1"/>
          </reference>
        </references>
      </pivotArea>
    </format>
    <format dxfId="849">
      <pivotArea outline="0" fieldPosition="0">
        <references count="6">
          <reference field="1" count="2" selected="0">
            <x v="28"/>
            <x v="40"/>
          </reference>
          <reference field="2" count="2" selected="0">
            <x v="1"/>
            <x v="11"/>
          </reference>
          <reference field="5" count="1" selected="0">
            <x v="6"/>
          </reference>
          <reference field="6" count="4" selected="0">
            <x v="1"/>
            <x v="2"/>
            <x v="3"/>
            <x v="4"/>
          </reference>
          <reference field="7" count="2" selected="0">
            <x v="28"/>
            <x v="58"/>
          </reference>
          <reference field="8" count="1" selected="0">
            <x v="1"/>
          </reference>
        </references>
      </pivotArea>
    </format>
    <format dxfId="848">
      <pivotArea outline="0" fieldPosition="0">
        <references count="6">
          <reference field="1" count="1" selected="0">
            <x v="28"/>
          </reference>
          <reference field="2" count="1" selected="0">
            <x v="11"/>
          </reference>
          <reference field="5" count="1" selected="0">
            <x v="6"/>
          </reference>
          <reference field="6" count="9" selected="0">
            <x v="5"/>
            <x v="6"/>
            <x v="7"/>
            <x v="8"/>
            <x v="9"/>
            <x v="10"/>
            <x v="11"/>
            <x v="12"/>
            <x v="13"/>
          </reference>
          <reference field="7" count="1" selected="0">
            <x v="28"/>
          </reference>
          <reference field="8" count="1" selected="0">
            <x v="1"/>
          </reference>
        </references>
      </pivotArea>
    </format>
    <format dxfId="847">
      <pivotArea outline="0" fieldPosition="0">
        <references count="6">
          <reference field="1" count="1" selected="0">
            <x v="29"/>
          </reference>
          <reference field="2" count="1" selected="0">
            <x v="1"/>
          </reference>
          <reference field="5" count="1" selected="0">
            <x v="6"/>
          </reference>
          <reference field="6" count="12" selected="0">
            <x v="0"/>
            <x v="1"/>
            <x v="2"/>
            <x v="5"/>
            <x v="6"/>
            <x v="7"/>
            <x v="8"/>
            <x v="9"/>
            <x v="10"/>
            <x v="11"/>
            <x v="12"/>
            <x v="13"/>
          </reference>
          <reference field="7" count="1" selected="0">
            <x v="7"/>
          </reference>
          <reference field="8" count="1" selected="0">
            <x v="4"/>
          </reference>
        </references>
      </pivotArea>
    </format>
    <format dxfId="846">
      <pivotArea outline="0" fieldPosition="0">
        <references count="6">
          <reference field="1" count="1" selected="0">
            <x v="41"/>
          </reference>
          <reference field="2" count="1" selected="0">
            <x v="16"/>
          </reference>
          <reference field="5" count="1" selected="0">
            <x v="6"/>
          </reference>
          <reference field="6" count="2" selected="0">
            <x v="5"/>
            <x v="6"/>
          </reference>
          <reference field="7" count="1" selected="0">
            <x v="59"/>
          </reference>
          <reference field="8" count="1" selected="0">
            <x v="1"/>
          </reference>
        </references>
      </pivotArea>
    </format>
    <format dxfId="845">
      <pivotArea outline="0" fieldPosition="0">
        <references count="6">
          <reference field="1" count="1" selected="0">
            <x v="41"/>
          </reference>
          <reference field="2" count="1" selected="0">
            <x v="16"/>
          </reference>
          <reference field="5" count="1" selected="0">
            <x v="6"/>
          </reference>
          <reference field="6" count="10" selected="0">
            <x v="0"/>
            <x v="1"/>
            <x v="2"/>
            <x v="3"/>
            <x v="4"/>
            <x v="9"/>
            <x v="10"/>
            <x v="11"/>
            <x v="12"/>
            <x v="13"/>
          </reference>
          <reference field="7" count="1" selected="0">
            <x v="59"/>
          </reference>
          <reference field="8" count="1" selected="0">
            <x v="1"/>
          </reference>
        </references>
      </pivotArea>
    </format>
    <format dxfId="844">
      <pivotArea outline="0" fieldPosition="0">
        <references count="6">
          <reference field="1" count="1" selected="0">
            <x v="30"/>
          </reference>
          <reference field="2" count="1" selected="0">
            <x v="3"/>
          </reference>
          <reference field="5" count="1" selected="0">
            <x v="6"/>
          </reference>
          <reference field="6" count="11" selected="0">
            <x v="0"/>
            <x v="1"/>
            <x v="5"/>
            <x v="6"/>
            <x v="7"/>
            <x v="8"/>
            <x v="9"/>
            <x v="10"/>
            <x v="11"/>
            <x v="12"/>
            <x v="13"/>
          </reference>
          <reference field="7" count="1" selected="0">
            <x v="29"/>
          </reference>
          <reference field="8" count="1" selected="0">
            <x v="2"/>
          </reference>
        </references>
      </pivotArea>
    </format>
    <format dxfId="843">
      <pivotArea outline="0" fieldPosition="0">
        <references count="6">
          <reference field="1" count="1" selected="0">
            <x v="42"/>
          </reference>
          <reference field="2" count="1" selected="0">
            <x v="17"/>
          </reference>
          <reference field="5" count="1" selected="0">
            <x v="6"/>
          </reference>
          <reference field="6" count="6" selected="0">
            <x v="5"/>
            <x v="6"/>
            <x v="7"/>
            <x v="8"/>
            <x v="9"/>
            <x v="10"/>
          </reference>
          <reference field="7" count="1" selected="0">
            <x v="47"/>
          </reference>
          <reference field="8" count="1" selected="0">
            <x v="1"/>
          </reference>
        </references>
      </pivotArea>
    </format>
    <format dxfId="842">
      <pivotArea outline="0" fieldPosition="0">
        <references count="6">
          <reference field="1" count="1" selected="0">
            <x v="42"/>
          </reference>
          <reference field="2" count="1" selected="0">
            <x v="17"/>
          </reference>
          <reference field="5" count="1" selected="0">
            <x v="6"/>
          </reference>
          <reference field="6" count="7" selected="0">
            <x v="0"/>
            <x v="1"/>
            <x v="2"/>
            <x v="3"/>
            <x v="4"/>
            <x v="12"/>
            <x v="13"/>
          </reference>
          <reference field="7" count="1" selected="0">
            <x v="47"/>
          </reference>
          <reference field="8" count="1" selected="0">
            <x v="1"/>
          </reference>
        </references>
      </pivotArea>
    </format>
    <format dxfId="841">
      <pivotArea outline="0" fieldPosition="0">
        <references count="6">
          <reference field="1" count="1" selected="0">
            <x v="43"/>
          </reference>
          <reference field="2" count="1" selected="0">
            <x v="7"/>
          </reference>
          <reference field="5" count="1" selected="0">
            <x v="6"/>
          </reference>
          <reference field="6" count="4" selected="0">
            <x v="5"/>
            <x v="6"/>
            <x v="7"/>
            <x v="8"/>
          </reference>
          <reference field="7" count="1" selected="0">
            <x v="60"/>
          </reference>
          <reference field="8" count="1" selected="0">
            <x v="1"/>
          </reference>
        </references>
      </pivotArea>
    </format>
    <format dxfId="840">
      <pivotArea outline="0" fieldPosition="0">
        <references count="6">
          <reference field="1" count="1" selected="0">
            <x v="43"/>
          </reference>
          <reference field="2" count="1" selected="0">
            <x v="7"/>
          </reference>
          <reference field="5" count="1" selected="0">
            <x v="6"/>
          </reference>
          <reference field="6" count="9" selected="0">
            <x v="0"/>
            <x v="1"/>
            <x v="2"/>
            <x v="3"/>
            <x v="4"/>
            <x v="10"/>
            <x v="11"/>
            <x v="12"/>
            <x v="13"/>
          </reference>
          <reference field="7" count="1" selected="0">
            <x v="60"/>
          </reference>
          <reference field="8" count="1" selected="0">
            <x v="1"/>
          </reference>
        </references>
      </pivotArea>
    </format>
  </formats>
  <pivotHierarchies count="39">
    <pivotHierarchy dragToData="1"/>
    <pivotHierarchy dragToData="1"/>
    <pivotHierarchy dragToData="1"/>
    <pivotHierarchy dragToData="1" caption="Periode "/>
    <pivotHierarchy multipleItemSelectionAllowed="1" dragToData="1">
      <members count="5" level="1">
        <member name="[Cicilan].[Slicer].&amp;[2025-08]"/>
        <member name="[Cicilan].[Slicer].&amp;[2025-09]"/>
        <member name="[Cicilan].[Slicer].&amp;[2025-10]"/>
        <member name="[Cicilan].[Slicer].&amp;[2025-11]"/>
        <member name="[Cicilan].[Slicer].&amp;[2025-12]"/>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caption="Karyawan"/>
    <pivotHierarchy dragToData="1"/>
    <pivotHierarchy dragToData="1"/>
    <pivotHierarchy dragToData="1" caption=" Pinjaman"/>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
    <pivotHierarchy dragToData="1"/>
    <pivotHierarchy dragToData="1"/>
    <pivotHierarchy dragToData="1"/>
  </pivotHierarchies>
  <pivotTableStyleInfo name="my style" showRowHeaders="1" showColHeaders="1" showRowStripes="1" showColStripes="1" showLastColumn="1"/>
  <rowHierarchiesUsage count="5">
    <rowHierarchyUsage hierarchyUsage="22"/>
    <rowHierarchyUsage hierarchyUsage="12"/>
    <rowHierarchyUsage hierarchyUsage="18"/>
    <rowHierarchyUsage hierarchyUsage="13"/>
    <rowHierarchyUsage hierarchyUsage="1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cilan]"/>
        <x15:activeTabTopLevelEntity name="[Pinjam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A69AB-5D6A-43EB-856E-50B437397893}" name="PivotTable4" cacheId="69" applyNumberFormats="0" applyBorderFormats="0" applyFontFormats="0" applyPatternFormats="0" applyAlignmentFormats="0" applyWidthHeightFormats="1" dataCaption="Values" updatedVersion="8" minRefreshableVersion="5" rowGrandTotals="0" colGrandTotals="0" itemPrintTitles="1" createdVersion="8" indent="0" compact="0" compactData="0" multipleFieldFilters="0" chartFormat="10" fieldListSortAscending="1">
  <location ref="A25:C75" firstHeaderRow="1" firstDataRow="1" firstDataCol="2"/>
  <pivotFields count="15">
    <pivotField compact="0" outline="0" showAll="0" defaultSubtotal="0"/>
    <pivotField compact="0" outline="0" showAll="0" defaultSubtotal="0"/>
    <pivotField compact="0" outline="0" showAll="0" defaultSubtotal="0">
      <items count="61">
        <item x="37"/>
        <item x="34"/>
        <item x="9"/>
        <item x="53"/>
        <item x="38"/>
        <item x="6"/>
        <item x="10"/>
        <item x="8"/>
        <item x="0"/>
        <item x="41"/>
        <item x="2"/>
        <item x="4"/>
        <item x="1"/>
        <item x="5"/>
        <item x="16"/>
        <item x="35"/>
        <item x="13"/>
        <item x="39"/>
        <item x="14"/>
        <item x="17"/>
        <item x="40"/>
        <item x="19"/>
        <item x="3"/>
        <item x="7"/>
        <item x="15"/>
        <item x="20"/>
        <item x="22"/>
        <item x="21"/>
        <item x="23"/>
        <item x="24"/>
        <item x="25"/>
        <item x="26"/>
        <item x="27"/>
        <item x="28"/>
        <item x="29"/>
        <item x="11"/>
        <item x="30"/>
        <item x="18"/>
        <item x="31"/>
        <item x="32"/>
        <item x="12"/>
        <item x="54"/>
        <item x="33"/>
        <item x="36"/>
        <item x="42"/>
        <item x="43"/>
        <item x="44"/>
        <item x="45"/>
        <item x="46"/>
        <item x="47"/>
        <item x="48"/>
        <item x="55"/>
        <item x="49"/>
        <item x="50"/>
        <item x="56"/>
        <item x="57"/>
        <item x="58"/>
        <item x="59"/>
        <item x="51"/>
        <item x="60"/>
        <item x="52"/>
      </items>
    </pivotField>
    <pivotField compact="0" outline="0" showAll="0" defaultSubtotal="0">
      <items count="17">
        <item x="12"/>
        <item x="11"/>
        <item x="5"/>
        <item x="13"/>
        <item x="3"/>
        <item x="0"/>
        <item x="1"/>
        <item x="8"/>
        <item x="2"/>
        <item x="4"/>
        <item x="9"/>
        <item x="6"/>
        <item x="7"/>
        <item x="10"/>
        <item x="14"/>
        <item x="15"/>
        <item x="16"/>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4"/>
        <item x="3"/>
        <item x="5"/>
        <item x="6"/>
        <item x="0"/>
        <item x="1"/>
        <item x="2"/>
        <item x="7"/>
      </items>
    </pivotField>
    <pivotField axis="axisRow"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howAll="0" defaultSubtotal="0">
      <items count="5">
        <item h="1" x="0"/>
        <item h="1" x="1"/>
        <item x="2"/>
        <item x="3"/>
        <item h="1" x="4"/>
      </items>
    </pivotField>
  </pivotFields>
  <rowFields count="2">
    <field x="12"/>
    <field x="11"/>
  </rowFields>
  <rowItems count="50">
    <i>
      <x v="1"/>
      <x/>
    </i>
    <i r="1">
      <x v="1"/>
    </i>
    <i r="1">
      <x v="4"/>
    </i>
    <i r="1">
      <x v="5"/>
    </i>
    <i>
      <x v="2"/>
      <x v="4"/>
    </i>
    <i r="1">
      <x v="5"/>
    </i>
    <i r="1">
      <x v="6"/>
    </i>
    <i>
      <x v="3"/>
      <x/>
    </i>
    <i r="1">
      <x v="3"/>
    </i>
    <i r="1">
      <x v="4"/>
    </i>
    <i r="1">
      <x v="5"/>
    </i>
    <i>
      <x v="4"/>
      <x/>
    </i>
    <i r="1">
      <x v="4"/>
    </i>
    <i r="1">
      <x v="5"/>
    </i>
    <i>
      <x v="5"/>
      <x/>
    </i>
    <i r="1">
      <x v="1"/>
    </i>
    <i r="1">
      <x v="4"/>
    </i>
    <i r="1">
      <x v="5"/>
    </i>
    <i>
      <x v="6"/>
      <x v="1"/>
    </i>
    <i r="1">
      <x v="2"/>
    </i>
    <i r="1">
      <x v="4"/>
    </i>
    <i r="1">
      <x v="5"/>
    </i>
    <i>
      <x v="7"/>
      <x v="1"/>
    </i>
    <i r="1">
      <x v="2"/>
    </i>
    <i r="1">
      <x v="5"/>
    </i>
    <i>
      <x v="8"/>
      <x v="1"/>
    </i>
    <i r="1">
      <x v="2"/>
    </i>
    <i r="1">
      <x v="3"/>
    </i>
    <i r="1">
      <x v="4"/>
    </i>
    <i r="1">
      <x v="5"/>
    </i>
    <i>
      <x v="9"/>
      <x/>
    </i>
    <i r="1">
      <x v="2"/>
    </i>
    <i r="1">
      <x v="3"/>
    </i>
    <i r="1">
      <x v="4"/>
    </i>
    <i r="1">
      <x v="5"/>
    </i>
    <i r="1">
      <x v="6"/>
    </i>
    <i>
      <x v="10"/>
      <x/>
    </i>
    <i r="1">
      <x v="1"/>
    </i>
    <i r="1">
      <x v="2"/>
    </i>
    <i r="1">
      <x v="4"/>
    </i>
    <i r="1">
      <x v="5"/>
    </i>
    <i>
      <x v="11"/>
      <x/>
    </i>
    <i r="1">
      <x v="2"/>
    </i>
    <i r="1">
      <x v="3"/>
    </i>
    <i r="1">
      <x v="4"/>
    </i>
    <i r="1">
      <x v="7"/>
    </i>
    <i>
      <x v="12"/>
      <x v="1"/>
    </i>
    <i r="1">
      <x v="2"/>
    </i>
    <i r="1">
      <x v="4"/>
    </i>
    <i r="1">
      <x v="5"/>
    </i>
  </rowItems>
  <colItems count="1">
    <i/>
  </colItems>
  <dataFields count="1">
    <dataField name=" Pinjaman" fld="4" baseField="0" baseItem="0"/>
  </dataFields>
  <formats count="1">
    <format dxfId="833">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5" name="Slicer">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71852-2EB9-493E-8283-C7739C320A38}" name="PivotTable5" cacheId="6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fieldListSortAscending="1">
  <location ref="A1:C2" firstHeaderRow="0" firstDataRow="1" firstDataCol="0"/>
  <pivotFields count="15">
    <pivotField showAll="0"/>
    <pivotField showAll="0"/>
    <pivotField showAll="0">
      <items count="62">
        <item x="37"/>
        <item x="34"/>
        <item x="9"/>
        <item x="53"/>
        <item x="38"/>
        <item x="6"/>
        <item x="10"/>
        <item x="8"/>
        <item x="0"/>
        <item x="41"/>
        <item x="2"/>
        <item x="4"/>
        <item x="1"/>
        <item x="5"/>
        <item x="16"/>
        <item x="35"/>
        <item x="13"/>
        <item x="39"/>
        <item x="14"/>
        <item x="17"/>
        <item x="40"/>
        <item x="19"/>
        <item x="3"/>
        <item x="7"/>
        <item x="15"/>
        <item x="20"/>
        <item x="22"/>
        <item x="21"/>
        <item x="23"/>
        <item x="24"/>
        <item x="25"/>
        <item x="26"/>
        <item x="27"/>
        <item x="28"/>
        <item x="29"/>
        <item x="11"/>
        <item x="30"/>
        <item x="18"/>
        <item x="31"/>
        <item x="32"/>
        <item x="12"/>
        <item x="54"/>
        <item x="33"/>
        <item x="36"/>
        <item x="42"/>
        <item x="43"/>
        <item x="44"/>
        <item x="45"/>
        <item x="46"/>
        <item x="47"/>
        <item x="48"/>
        <item x="55"/>
        <item x="49"/>
        <item x="50"/>
        <item x="56"/>
        <item x="57"/>
        <item x="58"/>
        <item x="59"/>
        <item x="51"/>
        <item x="60"/>
        <item x="52"/>
        <item t="default"/>
      </items>
    </pivotField>
    <pivotField showAll="0">
      <items count="18">
        <item x="12"/>
        <item x="11"/>
        <item x="5"/>
        <item x="13"/>
        <item x="3"/>
        <item x="0"/>
        <item x="1"/>
        <item x="8"/>
        <item x="2"/>
        <item x="4"/>
        <item x="9"/>
        <item x="6"/>
        <item x="7"/>
        <item x="10"/>
        <item x="14"/>
        <item x="15"/>
        <item x="16"/>
        <item t="default"/>
      </items>
    </pivotField>
    <pivotField dataField="1" showAll="0"/>
    <pivotField dataField="1"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x="3"/>
        <item h="1" x="4"/>
        <item t="default"/>
      </items>
    </pivotField>
  </pivotFields>
  <rowItems count="1">
    <i/>
  </rowItems>
  <colFields count="1">
    <field x="-2"/>
  </colFields>
  <colItems count="3">
    <i>
      <x/>
    </i>
    <i i="1">
      <x v="1"/>
    </i>
    <i i="2">
      <x v="2"/>
    </i>
  </colItems>
  <dataFields count="3">
    <dataField name=" Pinjaman" fld="4" baseField="0" baseItem="0"/>
    <dataField name=" Paid Off" fld="5" baseField="0" baseItem="0"/>
    <dataField name=" Remaining" fld="7" baseField="0" baseItem="0"/>
  </dataFields>
  <formats count="1">
    <format dxfId="834">
      <pivotArea outline="0" collapsedLevelsAreSubtotals="1" fieldPosition="0"/>
    </format>
  </formats>
  <pivotTableStyleInfo name="PivotStyleLight16" showRowHeaders="1" showColHeaders="1" showRowStripes="0" showColStripes="0" showLastColumn="1"/>
  <filters count="1">
    <filter fld="3" type="dateBetween" evalOrder="-1" id="5" name="Slicer">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4A1B3-081B-466B-B35D-7F97E5ED86C7}" name="PivotTable2" cacheId="69"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31" fieldListSortAscending="1">
  <location ref="E1:F12" firstHeaderRow="1" firstDataRow="1" firstDataCol="1"/>
  <pivotFields count="15">
    <pivotField showAll="0" defaultSubtotal="0"/>
    <pivotField axis="axisRow" showAll="0" measureFilter="1" sortType="ascending" defaultSubtotal="0">
      <items count="44">
        <item x="21"/>
        <item x="38"/>
        <item x="27"/>
        <item x="10"/>
        <item x="4"/>
        <item x="37"/>
        <item x="15"/>
        <item x="12"/>
        <item x="18"/>
        <item x="36"/>
        <item x="39"/>
        <item x="20"/>
        <item x="40"/>
        <item x="29"/>
        <item x="6"/>
        <item x="1"/>
        <item x="0"/>
        <item x="25"/>
        <item x="9"/>
        <item x="3"/>
        <item x="13"/>
        <item x="8"/>
        <item x="7"/>
        <item x="14"/>
        <item x="28"/>
        <item x="11"/>
        <item x="30"/>
        <item x="5"/>
        <item x="2"/>
        <item x="32"/>
        <item x="16"/>
        <item x="23"/>
        <item x="19"/>
        <item x="31"/>
        <item x="35"/>
        <item x="22"/>
        <item x="26"/>
        <item x="43"/>
        <item x="34"/>
        <item x="41"/>
        <item x="24"/>
        <item x="17"/>
        <item x="33"/>
        <item x="42"/>
      </items>
      <autoSortScope>
        <pivotArea dataOnly="0" outline="0" fieldPosition="0">
          <references count="1">
            <reference field="4294967294" count="1" selected="0">
              <x v="0"/>
            </reference>
          </references>
        </pivotArea>
      </autoSortScope>
    </pivotField>
    <pivotField showAll="0" defaultSubtotal="0">
      <items count="61">
        <item x="37"/>
        <item x="34"/>
        <item x="9"/>
        <item x="53"/>
        <item x="38"/>
        <item x="6"/>
        <item x="10"/>
        <item x="8"/>
        <item x="0"/>
        <item x="41"/>
        <item x="2"/>
        <item x="4"/>
        <item x="1"/>
        <item x="5"/>
        <item x="16"/>
        <item x="35"/>
        <item x="13"/>
        <item x="39"/>
        <item x="14"/>
        <item x="17"/>
        <item x="40"/>
        <item x="19"/>
        <item x="3"/>
        <item x="7"/>
        <item x="15"/>
        <item x="20"/>
        <item x="22"/>
        <item x="21"/>
        <item x="23"/>
        <item x="24"/>
        <item x="25"/>
        <item x="26"/>
        <item x="27"/>
        <item x="28"/>
        <item x="29"/>
        <item x="11"/>
        <item x="30"/>
        <item x="18"/>
        <item x="31"/>
        <item x="32"/>
        <item x="12"/>
        <item x="54"/>
        <item x="33"/>
        <item x="36"/>
        <item x="42"/>
        <item x="43"/>
        <item x="44"/>
        <item x="45"/>
        <item x="46"/>
        <item x="47"/>
        <item x="48"/>
        <item x="55"/>
        <item x="49"/>
        <item x="50"/>
        <item x="56"/>
        <item x="57"/>
        <item x="58"/>
        <item x="59"/>
        <item x="51"/>
        <item x="60"/>
        <item x="52"/>
      </items>
    </pivotField>
    <pivotField showAll="0" defaultSubtotal="0">
      <items count="17">
        <item x="12"/>
        <item x="11"/>
        <item x="5"/>
        <item x="13"/>
        <item x="3"/>
        <item x="0"/>
        <item x="1"/>
        <item x="8"/>
        <item x="2"/>
        <item x="4"/>
        <item x="9"/>
        <item x="6"/>
        <item x="7"/>
        <item x="10"/>
        <item x="14"/>
        <item x="15"/>
        <item x="16"/>
      </items>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h="1" sd="0" x="0"/>
        <item h="1" sd="0" x="1"/>
        <item sd="0" x="2"/>
        <item sd="0" x="3"/>
        <item h="1" sd="0" x="4"/>
      </items>
    </pivotField>
  </pivotFields>
  <rowFields count="1">
    <field x="1"/>
  </rowFields>
  <rowItems count="11">
    <i>
      <x v="27"/>
    </i>
    <i>
      <x v="20"/>
    </i>
    <i>
      <x v="8"/>
    </i>
    <i>
      <x v="28"/>
    </i>
    <i>
      <x v="18"/>
    </i>
    <i>
      <x v="6"/>
    </i>
    <i>
      <x v="1"/>
    </i>
    <i>
      <x v="30"/>
    </i>
    <i>
      <x v="14"/>
    </i>
    <i>
      <x v="17"/>
    </i>
    <i>
      <x v="32"/>
    </i>
  </rowItems>
  <colItems count="1">
    <i/>
  </colItems>
  <dataFields count="1">
    <dataField name="Pinjam" fld="4" baseField="0" baseItem="0" numFmtId="41"/>
  </dataFields>
  <formats count="1">
    <format dxfId="8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dateBetween" evalOrder="-1" id="6" name="Slicer">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0D31A5-1F97-4C96-9600-B559BC9735FC}" name="PivotTable1" cacheId="69" applyNumberFormats="0" applyBorderFormats="0" applyFontFormats="0" applyPatternFormats="0" applyAlignmentFormats="0" applyWidthHeightFormats="1" dataCaption="Values" updatedVersion="8" minRefreshableVersion="5" showDrill="0" rowGrandTotals="0" colGrandTotals="0" itemPrintTitles="1" createdVersion="8" indent="0" outline="1" outlineData="1" multipleFieldFilters="0" chartFormat="24" fieldListSortAscending="1">
  <location ref="A6:B14" firstHeaderRow="1" firstDataRow="1" firstDataCol="1"/>
  <pivotFields count="15">
    <pivotField showAll="0" defaultSubtotal="0"/>
    <pivotField showAll="0" defaultSubtotal="0"/>
    <pivotField showAll="0" defaultSubtotal="0">
      <items count="61">
        <item x="37"/>
        <item x="34"/>
        <item x="9"/>
        <item x="53"/>
        <item x="38"/>
        <item x="6"/>
        <item x="10"/>
        <item x="8"/>
        <item x="0"/>
        <item x="41"/>
        <item x="2"/>
        <item x="4"/>
        <item x="1"/>
        <item x="5"/>
        <item x="16"/>
        <item x="35"/>
        <item x="13"/>
        <item x="39"/>
        <item x="14"/>
        <item x="17"/>
        <item x="40"/>
        <item x="19"/>
        <item x="3"/>
        <item x="7"/>
        <item x="15"/>
        <item x="20"/>
        <item x="22"/>
        <item x="21"/>
        <item x="23"/>
        <item x="24"/>
        <item x="25"/>
        <item x="26"/>
        <item x="27"/>
        <item x="28"/>
        <item x="29"/>
        <item x="11"/>
        <item x="30"/>
        <item x="18"/>
        <item x="31"/>
        <item x="32"/>
        <item x="12"/>
        <item x="54"/>
        <item x="33"/>
        <item x="36"/>
        <item x="42"/>
        <item x="43"/>
        <item x="44"/>
        <item x="45"/>
        <item x="46"/>
        <item x="47"/>
        <item x="48"/>
        <item x="55"/>
        <item x="49"/>
        <item x="50"/>
        <item x="56"/>
        <item x="57"/>
        <item x="58"/>
        <item x="59"/>
        <item x="51"/>
        <item x="60"/>
        <item x="52"/>
      </items>
    </pivotField>
    <pivotField showAll="0" defaultSubtotal="0">
      <items count="17">
        <item x="12"/>
        <item x="11"/>
        <item x="5"/>
        <item x="13"/>
        <item x="3"/>
        <item x="0"/>
        <item x="1"/>
        <item x="8"/>
        <item x="2"/>
        <item x="4"/>
        <item x="9"/>
        <item x="6"/>
        <item x="7"/>
        <item x="10"/>
        <item x="14"/>
        <item x="15"/>
        <item x="16"/>
      </items>
    </pivotField>
    <pivotField dataField="1" showAll="0" defaultSubtotal="0">
      <items count="18">
        <item x="8"/>
        <item x="13"/>
        <item x="12"/>
        <item x="4"/>
        <item x="3"/>
        <item x="7"/>
        <item x="2"/>
        <item x="15"/>
        <item x="5"/>
        <item x="9"/>
        <item x="11"/>
        <item x="0"/>
        <item x="14"/>
        <item x="1"/>
        <item x="6"/>
        <item x="10"/>
        <item x="17"/>
        <item x="16"/>
      </items>
    </pivotField>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8">
        <item x="4"/>
        <item x="3"/>
        <item x="5"/>
        <item x="6"/>
        <item x="0"/>
        <item x="1"/>
        <item x="2"/>
        <item x="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h="1" sd="0" x="0"/>
        <item h="1" sd="0" x="1"/>
        <item sd="0" x="2"/>
        <item sd="0" x="3"/>
        <item h="1" sd="0" x="4"/>
      </items>
    </pivotField>
  </pivotFields>
  <rowFields count="1">
    <field x="11"/>
  </rowFields>
  <rowItems count="8">
    <i>
      <x/>
    </i>
    <i>
      <x v="1"/>
    </i>
    <i>
      <x v="2"/>
    </i>
    <i>
      <x v="3"/>
    </i>
    <i>
      <x v="4"/>
    </i>
    <i>
      <x v="5"/>
    </i>
    <i>
      <x v="6"/>
    </i>
    <i>
      <x v="7"/>
    </i>
  </rowItems>
  <colItems count="1">
    <i/>
  </colItems>
  <dataFields count="1">
    <dataField name="Sum of Jumlah Pinjaman" fld="4" baseField="0" baseItem="0"/>
  </dataFields>
  <formats count="1">
    <format dxfId="836">
      <pivotArea outline="0" collapsedLevelsAreSubtotals="1" fieldPosition="0"/>
    </format>
  </formats>
  <chartFormats count="9">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11" count="1" selected="0">
            <x v="0"/>
          </reference>
        </references>
      </pivotArea>
    </chartFormat>
    <chartFormat chart="14" format="13">
      <pivotArea type="data" outline="0" fieldPosition="0">
        <references count="2">
          <reference field="4294967294" count="1" selected="0">
            <x v="0"/>
          </reference>
          <reference field="11" count="1" selected="0">
            <x v="1"/>
          </reference>
        </references>
      </pivotArea>
    </chartFormat>
    <chartFormat chart="14" format="14">
      <pivotArea type="data" outline="0" fieldPosition="0">
        <references count="2">
          <reference field="4294967294" count="1" selected="0">
            <x v="0"/>
          </reference>
          <reference field="11" count="1" selected="0">
            <x v="2"/>
          </reference>
        </references>
      </pivotArea>
    </chartFormat>
    <chartFormat chart="14" format="15">
      <pivotArea type="data" outline="0" fieldPosition="0">
        <references count="2">
          <reference field="4294967294" count="1" selected="0">
            <x v="0"/>
          </reference>
          <reference field="11" count="1" selected="0">
            <x v="3"/>
          </reference>
        </references>
      </pivotArea>
    </chartFormat>
    <chartFormat chart="14" format="16">
      <pivotArea type="data" outline="0" fieldPosition="0">
        <references count="2">
          <reference field="4294967294" count="1" selected="0">
            <x v="0"/>
          </reference>
          <reference field="11" count="1" selected="0">
            <x v="4"/>
          </reference>
        </references>
      </pivotArea>
    </chartFormat>
    <chartFormat chart="14" format="17">
      <pivotArea type="data" outline="0" fieldPosition="0">
        <references count="2">
          <reference field="4294967294" count="1" selected="0">
            <x v="0"/>
          </reference>
          <reference field="11" count="1" selected="0">
            <x v="5"/>
          </reference>
        </references>
      </pivotArea>
    </chartFormat>
    <chartFormat chart="14" format="18">
      <pivotArea type="data" outline="0" fieldPosition="0">
        <references count="2">
          <reference field="4294967294" count="1" selected="0">
            <x v="0"/>
          </reference>
          <reference field="11" count="1" selected="0">
            <x v="6"/>
          </reference>
        </references>
      </pivotArea>
    </chartFormat>
    <chartFormat chart="14" format="19">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filters count="1">
    <filter fld="3" type="dateBetween" evalOrder="-1" id="5" name="Slicer">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883B5D-AE48-4376-B886-36225839CD92}" name="PivotTable3" cacheId="69"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15" fieldListSortAscending="1">
  <location ref="I1:Q14" firstHeaderRow="1" firstDataRow="2" firstDataCol="1"/>
  <pivotFields count="15">
    <pivotField showAll="0" defaultSubtotal="0"/>
    <pivotField showAll="0" defaultSubtotal="0"/>
    <pivotField showAll="0" defaultSubtotal="0">
      <items count="61">
        <item x="37"/>
        <item x="34"/>
        <item x="9"/>
        <item x="53"/>
        <item x="38"/>
        <item x="6"/>
        <item x="10"/>
        <item x="8"/>
        <item x="0"/>
        <item x="41"/>
        <item x="2"/>
        <item x="4"/>
        <item x="1"/>
        <item x="5"/>
        <item x="16"/>
        <item x="35"/>
        <item x="13"/>
        <item x="39"/>
        <item x="14"/>
        <item x="17"/>
        <item x="40"/>
        <item x="19"/>
        <item x="3"/>
        <item x="7"/>
        <item x="15"/>
        <item x="20"/>
        <item x="22"/>
        <item x="21"/>
        <item x="23"/>
        <item x="24"/>
        <item x="25"/>
        <item x="26"/>
        <item x="27"/>
        <item x="28"/>
        <item x="29"/>
        <item x="11"/>
        <item x="30"/>
        <item x="18"/>
        <item x="31"/>
        <item x="32"/>
        <item x="12"/>
        <item x="54"/>
        <item x="33"/>
        <item x="36"/>
        <item x="42"/>
        <item x="43"/>
        <item x="44"/>
        <item x="45"/>
        <item x="46"/>
        <item x="47"/>
        <item x="48"/>
        <item x="55"/>
        <item x="49"/>
        <item x="50"/>
        <item x="56"/>
        <item x="57"/>
        <item x="58"/>
        <item x="59"/>
        <item x="51"/>
        <item x="60"/>
        <item x="52"/>
      </items>
    </pivotField>
    <pivotField showAll="0" defaultSubtotal="0">
      <items count="17">
        <item x="12"/>
        <item x="11"/>
        <item x="5"/>
        <item x="13"/>
        <item x="3"/>
        <item x="0"/>
        <item x="1"/>
        <item x="8"/>
        <item x="2"/>
        <item x="4"/>
        <item x="9"/>
        <item x="6"/>
        <item x="7"/>
        <item x="10"/>
        <item x="14"/>
        <item x="15"/>
        <item x="16"/>
      </items>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axis="axisCol" showAll="0" defaultSubtotal="0">
      <items count="8">
        <item x="4"/>
        <item x="3"/>
        <item x="5"/>
        <item x="6"/>
        <item x="0"/>
        <item x="1"/>
        <item x="2"/>
        <item x="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h="1" sd="0" x="0"/>
        <item h="1" sd="0" x="1"/>
        <item sd="0" x="2"/>
        <item sd="0" x="3"/>
        <item h="1" sd="0" x="4"/>
      </items>
    </pivotField>
  </pivotFields>
  <rowFields count="1">
    <field x="12"/>
  </rowFields>
  <rowItems count="12">
    <i>
      <x v="1"/>
    </i>
    <i>
      <x v="2"/>
    </i>
    <i>
      <x v="3"/>
    </i>
    <i>
      <x v="4"/>
    </i>
    <i>
      <x v="5"/>
    </i>
    <i>
      <x v="6"/>
    </i>
    <i>
      <x v="7"/>
    </i>
    <i>
      <x v="8"/>
    </i>
    <i>
      <x v="9"/>
    </i>
    <i>
      <x v="10"/>
    </i>
    <i>
      <x v="11"/>
    </i>
    <i>
      <x v="12"/>
    </i>
  </rowItems>
  <colFields count="1">
    <field x="11"/>
  </colFields>
  <colItems count="8">
    <i>
      <x/>
    </i>
    <i>
      <x v="1"/>
    </i>
    <i>
      <x v="2"/>
    </i>
    <i>
      <x v="3"/>
    </i>
    <i>
      <x v="4"/>
    </i>
    <i>
      <x v="5"/>
    </i>
    <i>
      <x v="6"/>
    </i>
    <i>
      <x v="7"/>
    </i>
  </colItems>
  <dataFields count="1">
    <dataField name="Sum of Jumlah Pinjaman" fld="4" baseField="0" baseItem="0" numFmtId="41"/>
  </dataFields>
  <formats count="2">
    <format dxfId="838">
      <pivotArea dataOnly="0" outline="0" fieldPosition="0">
        <references count="1">
          <reference field="11" count="0"/>
        </references>
      </pivotArea>
    </format>
    <format dxfId="837">
      <pivotArea outline="0" collapsedLevelsAreSubtotals="1" fieldPosition="0"/>
    </format>
  </formats>
  <chartFormats count="8">
    <chartFormat chart="10" format="18" series="1">
      <pivotArea type="data" outline="0" fieldPosition="0">
        <references count="2">
          <reference field="4294967294" count="1" selected="0">
            <x v="0"/>
          </reference>
          <reference field="11" count="1" selected="0">
            <x v="0"/>
          </reference>
        </references>
      </pivotArea>
    </chartFormat>
    <chartFormat chart="10" format="19" series="1">
      <pivotArea type="data" outline="0" fieldPosition="0">
        <references count="2">
          <reference field="4294967294" count="1" selected="0">
            <x v="0"/>
          </reference>
          <reference field="11" count="1" selected="0">
            <x v="1"/>
          </reference>
        </references>
      </pivotArea>
    </chartFormat>
    <chartFormat chart="10" format="20" series="1">
      <pivotArea type="data" outline="0" fieldPosition="0">
        <references count="2">
          <reference field="4294967294" count="1" selected="0">
            <x v="0"/>
          </reference>
          <reference field="11" count="1" selected="0">
            <x v="2"/>
          </reference>
        </references>
      </pivotArea>
    </chartFormat>
    <chartFormat chart="10" format="21" series="1">
      <pivotArea type="data" outline="0" fieldPosition="0">
        <references count="2">
          <reference field="4294967294" count="1" selected="0">
            <x v="0"/>
          </reference>
          <reference field="11" count="1" selected="0">
            <x v="3"/>
          </reference>
        </references>
      </pivotArea>
    </chartFormat>
    <chartFormat chart="10" format="22" series="1">
      <pivotArea type="data" outline="0" fieldPosition="0">
        <references count="2">
          <reference field="4294967294" count="1" selected="0">
            <x v="0"/>
          </reference>
          <reference field="11" count="1" selected="0">
            <x v="4"/>
          </reference>
        </references>
      </pivotArea>
    </chartFormat>
    <chartFormat chart="10" format="23" series="1">
      <pivotArea type="data" outline="0" fieldPosition="0">
        <references count="2">
          <reference field="4294967294" count="1" selected="0">
            <x v="0"/>
          </reference>
          <reference field="11" count="1" selected="0">
            <x v="5"/>
          </reference>
        </references>
      </pivotArea>
    </chartFormat>
    <chartFormat chart="10" format="24" series="1">
      <pivotArea type="data" outline="0" fieldPosition="0">
        <references count="2">
          <reference field="4294967294" count="1" selected="0">
            <x v="0"/>
          </reference>
          <reference field="11" count="1" selected="0">
            <x v="6"/>
          </reference>
        </references>
      </pivotArea>
    </chartFormat>
    <chartFormat chart="10" format="25" series="1">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filters count="1">
    <filter fld="3" type="dateBetween" evalOrder="-1" id="5" name="Slicer">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5941CC-03CB-431C-B26D-7943C4179815}" name="PivotTable6" cacheId="69"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chartFormat="40" fieldListSortAscending="1">
  <location ref="J25:K29" firstHeaderRow="1" firstDataRow="1" firstDataCol="1"/>
  <pivotFields count="15">
    <pivotField showAll="0" defaultSubtotal="0"/>
    <pivotField showAll="0" measureFilter="1" sortType="ascending" defaultSubtotal="0">
      <items count="44">
        <item x="21"/>
        <item x="38"/>
        <item x="27"/>
        <item x="10"/>
        <item x="4"/>
        <item x="37"/>
        <item x="15"/>
        <item x="12"/>
        <item x="18"/>
        <item x="36"/>
        <item x="39"/>
        <item x="20"/>
        <item x="40"/>
        <item x="29"/>
        <item x="6"/>
        <item x="1"/>
        <item x="0"/>
        <item x="25"/>
        <item x="9"/>
        <item x="3"/>
        <item x="13"/>
        <item x="8"/>
        <item x="7"/>
        <item x="14"/>
        <item x="28"/>
        <item x="11"/>
        <item x="30"/>
        <item x="5"/>
        <item x="2"/>
        <item x="32"/>
        <item x="16"/>
        <item x="23"/>
        <item x="19"/>
        <item x="31"/>
        <item x="35"/>
        <item x="22"/>
        <item x="26"/>
        <item x="43"/>
        <item x="34"/>
        <item x="41"/>
        <item x="24"/>
        <item x="17"/>
        <item x="33"/>
        <item x="42"/>
      </items>
      <autoSortScope>
        <pivotArea dataOnly="0" outline="0" fieldPosition="0">
          <references count="1">
            <reference field="4294967294" count="1" selected="0">
              <x v="0"/>
            </reference>
          </references>
        </pivotArea>
      </autoSortScope>
    </pivotField>
    <pivotField showAll="0" defaultSubtotal="0">
      <items count="61">
        <item x="37"/>
        <item x="34"/>
        <item x="9"/>
        <item x="53"/>
        <item x="38"/>
        <item x="6"/>
        <item x="10"/>
        <item x="8"/>
        <item x="0"/>
        <item x="41"/>
        <item x="2"/>
        <item x="4"/>
        <item x="1"/>
        <item x="5"/>
        <item x="16"/>
        <item x="35"/>
        <item x="13"/>
        <item x="39"/>
        <item x="14"/>
        <item x="17"/>
        <item x="40"/>
        <item x="19"/>
        <item x="3"/>
        <item x="7"/>
        <item x="15"/>
        <item x="20"/>
        <item x="22"/>
        <item x="21"/>
        <item x="23"/>
        <item x="24"/>
        <item x="25"/>
        <item x="26"/>
        <item x="27"/>
        <item x="28"/>
        <item x="29"/>
        <item x="11"/>
        <item x="30"/>
        <item x="18"/>
        <item x="31"/>
        <item x="32"/>
        <item x="12"/>
        <item x="54"/>
        <item x="33"/>
        <item x="36"/>
        <item x="42"/>
        <item x="43"/>
        <item x="44"/>
        <item x="45"/>
        <item x="46"/>
        <item x="47"/>
        <item x="48"/>
        <item x="55"/>
        <item x="49"/>
        <item x="50"/>
        <item x="56"/>
        <item x="57"/>
        <item x="58"/>
        <item x="59"/>
        <item x="51"/>
        <item x="60"/>
        <item x="52"/>
      </items>
    </pivotField>
    <pivotField showAll="0" defaultSubtotal="0">
      <items count="17">
        <item x="12"/>
        <item x="11"/>
        <item x="5"/>
        <item x="13"/>
        <item x="3"/>
        <item x="0"/>
        <item x="1"/>
        <item x="8"/>
        <item x="2"/>
        <item x="4"/>
        <item x="9"/>
        <item x="6"/>
        <item x="7"/>
        <item x="10"/>
        <item x="14"/>
        <item x="15"/>
        <item x="16"/>
      </items>
    </pivotField>
    <pivotField dataField="1" showAll="0" defaultSubtotal="0"/>
    <pivotField showAll="0" defaultSubtotal="0"/>
    <pivotField showAll="0" defaultSubtotal="0"/>
    <pivotField showAll="0" defaultSubtotal="0"/>
    <pivotField showAll="0" defaultSubtotal="0"/>
    <pivotField showAll="0" defaultSubtotal="0"/>
    <pivotField axis="axisRow" showAll="0" defaultSubtotal="0">
      <items count="4">
        <item x="0"/>
        <item x="1"/>
        <item x="2"/>
        <item x="3"/>
      </items>
    </pivotField>
    <pivotField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h="1" sd="0" x="0"/>
        <item h="1" sd="0" x="1"/>
        <item sd="0" x="2"/>
        <item sd="0" x="3"/>
        <item h="1" sd="0" x="4"/>
      </items>
    </pivotField>
  </pivotFields>
  <rowFields count="1">
    <field x="10"/>
  </rowFields>
  <rowItems count="4">
    <i>
      <x/>
    </i>
    <i>
      <x v="1"/>
    </i>
    <i>
      <x v="2"/>
    </i>
    <i>
      <x v="3"/>
    </i>
  </rowItems>
  <colItems count="1">
    <i/>
  </colItems>
  <dataFields count="1">
    <dataField name="Pinjam" fld="4" baseField="0" baseItem="0" numFmtId="41"/>
  </dataFields>
  <formats count="1">
    <format dxfId="83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3" type="dateBetween" evalOrder="-1" id="6" name="Slicer">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icer" xr10:uid="{8532559B-7FE4-497A-9BE3-7070063C52B7}" sourceName="[Cicilan].[Slicer]">
  <pivotTables>
    <pivotTable tabId="3" name="PivotTable4"/>
  </pivotTables>
  <data>
    <olap pivotCacheId="780428402">
      <levels count="2">
        <level uniqueName="[Cicilan].[Slicer].[(All)]" sourceCaption="(All)" count="0"/>
        <level uniqueName="[Cicilan].[Slicer].[Slicer]" sourceCaption="Slicer" count="14">
          <ranges>
            <range startItem="0">
              <i n="[Cicilan].[Slicer].&amp;[2024-11]" c="2024-11"/>
              <i n="[Cicilan].[Slicer].&amp;[2024-12]" c="2024-12"/>
              <i n="[Cicilan].[Slicer].&amp;[2025-01]" c="2025-01"/>
              <i n="[Cicilan].[Slicer].&amp;[2025-02]" c="2025-02"/>
              <i n="[Cicilan].[Slicer].&amp;[2025-03]" c="2025-03"/>
              <i n="[Cicilan].[Slicer].&amp;[2025-04]" c="2025-04"/>
              <i n="[Cicilan].[Slicer].&amp;[2025-05]" c="2025-05"/>
              <i n="[Cicilan].[Slicer].&amp;[2025-06]" c="2025-06"/>
              <i n="[Cicilan].[Slicer].&amp;[2025-07]" c="2025-07"/>
              <i n="[Cicilan].[Slicer].&amp;[2025-08]" c="2025-08"/>
              <i n="[Cicilan].[Slicer].&amp;[2025-09]" c="2025-09"/>
              <i n="[Cicilan].[Slicer].&amp;[2025-10]" c="2025-10"/>
              <i n="[Cicilan].[Slicer].&amp;[2025-11]" c="2025-11"/>
              <i n="[Cicilan].[Slicer].&amp;[2025-12]" c="2025-12"/>
            </range>
          </ranges>
        </level>
      </levels>
      <selections count="5">
        <selection n="[Cicilan].[Slicer].&amp;[2025-08]"/>
        <selection n="[Cicilan].[Slicer].&amp;[2025-09]"/>
        <selection n="[Cicilan].[Slicer].&amp;[2025-10]"/>
        <selection n="[Cicilan].[Slicer].&amp;[2025-11]"/>
        <selection n="[Cicilan].[Slicer].&amp;[2025-1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2" xr10:uid="{EAD77FA5-0EE1-4F41-B11C-6308297926BC}" sourceName="[Pinjaman].[Status]">
  <pivotTables>
    <pivotTable tabId="3" name="PivotTable4"/>
  </pivotTables>
  <data>
    <olap pivotCacheId="780428402">
      <levels count="2">
        <level uniqueName="[Pinjaman].[Status].[(All)]" sourceCaption="(All)" count="0"/>
        <level uniqueName="[Pinjaman].[Status].[Status]" sourceCaption="Status" count="2">
          <ranges>
            <range startItem="0">
              <i n="[Pinjaman].[Status].&amp;[Belum Lunas]" c="Belum Lunas"/>
              <i n="[Pinjaman].[Status].&amp;[Lunas]" c="Lunas"/>
            </range>
          </ranges>
        </level>
      </levels>
      <selections count="1">
        <selection n="[Pinjaman].[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anggal_Pinjaman" xr10:uid="{CC5EE4CD-776C-4A49-8825-AF31416D9B16}" sourceName="Months (Tanggal Pinjaman)">
  <pivotTables>
    <pivotTable tabId="6" name="PivotTable4"/>
    <pivotTable tabId="6" name="PivotTable1"/>
    <pivotTable tabId="6" name="PivotTable2"/>
    <pivotTable tabId="6" name="PivotTable3"/>
    <pivotTable tabId="6" name="PivotTable5"/>
    <pivotTable tabId="6" name="PivotTable6"/>
  </pivotTables>
  <data>
    <tabular pivotCacheId="23739378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anggal_Pinjaman" xr10:uid="{E6FA5FD0-901B-407A-A01F-965021782A39}" sourceName="Years (Tanggal Pinjaman)">
  <pivotTables>
    <pivotTable tabId="6" name="PivotTable3"/>
    <pivotTable tabId="6" name="PivotTable1"/>
    <pivotTable tabId="6" name="PivotTable2"/>
    <pivotTable tabId="6" name="PivotTable4"/>
    <pivotTable tabId="6" name="PivotTable5"/>
    <pivotTable tabId="6" name="PivotTable6"/>
  </pivotTables>
  <data>
    <tabular pivotCacheId="237393783">
      <items count="5">
        <i x="1"/>
        <i x="2" s="1"/>
        <i x="3" s="1"/>
        <i x="0" nd="1"/>
        <i x="4"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e_Gaji" xr10:uid="{381E4CE2-FBE2-470B-BB91-FA86EADF60D4}" sourceName="Periode Gaji">
  <extLst>
    <x:ext xmlns:x15="http://schemas.microsoft.com/office/spreadsheetml/2010/11/main" uri="{2F2917AC-EB37-4324-AD4E-5DD8C200BD13}">
      <x15:tableSlicerCache tableId="2"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bang" xr10:uid="{F8C8558F-9FA0-4C38-AF2A-03E717924FC2}" sourceName="Cabang">
  <extLst>
    <x:ext xmlns:x15="http://schemas.microsoft.com/office/spreadsheetml/2010/11/main" uri="{2F2917AC-EB37-4324-AD4E-5DD8C200BD13}">
      <x15:tableSlicerCache tableId="1" column="9"/>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e_Bulan" xr10:uid="{3D9F2655-9690-475F-8390-FB87EB28D4EA}" sourceName="Slicer">
  <extLst>
    <x:ext xmlns:x15="http://schemas.microsoft.com/office/spreadsheetml/2010/11/main" uri="{2F2917AC-EB37-4324-AD4E-5DD8C200BD13}">
      <x15:tableSlicerCache tableId="1" column="1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D0B3108-52F3-4219-AA1D-33BBC7B23108}" sourceName="Status">
  <extLst>
    <x:ext xmlns:x15="http://schemas.microsoft.com/office/spreadsheetml/2010/11/main" uri="{2F2917AC-EB37-4324-AD4E-5DD8C200BD13}">
      <x15:tableSlicerCache tableId="1" column="1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CE13C970-4C7F-48EB-8EEA-7701E2223CE4}" sourceName="Status">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anggal Pinjaman)" xr10:uid="{0F6AF927-27F2-4608-8153-37664CA57F2C}" cache="Slicer_Months__Tanggal_Pinjaman" caption="Month (Loan)" columnCount="12" style="SlicerStyleDark6 2" rowHeight="288000"/>
  <slicer name="Years (Tanggal Pinjaman)" xr10:uid="{56C39146-B7FD-47FF-85DD-6DCB363A6705}" cache="Slicer_Years__Tanggal_Pinjaman" caption="Year (Loan)" columnCount="4" style="SlicerStyleDark6 2"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xr10:uid="{498834CB-8DC2-4ACE-B7F4-4E55B30AD20C}" cache="Slicer_Slicer" caption="Salary Month" columnCount="8" level="1" style="SlicerStyleDark1 2" rowHeight="161925"/>
  <slicer name="Status 2" xr10:uid="{C6412E17-64EF-4860-BF12-7A3A6EF518BB}" cache="Slicer_Status2" caption="Status" columnCount="2" level="1" style="SlicerStyleDark1 2" rowHeight="1619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ang 1" xr10:uid="{CEC9DC94-C3AB-4BAD-A18B-5881DC607DCA}" cache="Slicer_Cabang" caption="Cabang" columnCount="4" showCaption="0" rowHeight="161925"/>
  <slicer name="Periode Bulan" xr10:uid="{559968EC-A9D5-4953-8A63-9A2D5B3734C2}" cache="Slicer_Periode_Bulan" caption="P Transfer" columnCount="2" style="SlicerStyleDark3" rowHeight="161925"/>
  <slicer name="Status" xr10:uid="{8D985183-D533-42D2-A3E7-69A50656D5B8}" cache="Slicer_Status" caption="Column1" showCaption="0" rowHeight="16192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e Gaji" xr10:uid="{FD9EBE3C-D3AB-4950-B2FF-655C43ECF03F}" cache="Slicer_Periode_Gaji" caption="Periode Gaji" columnCount="6" showCaption="0" rowHeight="241300"/>
  <slicer name="Status 1" xr10:uid="{96873AAF-B4EB-41C8-BDB9-5B6EFC1B7DD3}" cache="Slicer_Status1" caption="Status" rowHeight="1619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A20FCA-FCC9-4C21-8DED-909AC179B074}" name="Pinjaman" displayName="Pinjaman" ref="B3:M87" totalsRowCount="1" headerRowDxfId="832" dataDxfId="830" headerRowBorderDxfId="831" tableBorderDxfId="829">
  <autoFilter ref="B3:M86" xr:uid="{EDA20FCA-FCC9-4C21-8DED-909AC179B074}"/>
  <sortState xmlns:xlrd2="http://schemas.microsoft.com/office/spreadsheetml/2017/richdata2" ref="B4:M86">
    <sortCondition ref="H4:H70" customList="Lunas,Belum Lunas"/>
    <sortCondition ref="B4:B70"/>
  </sortState>
  <tableColumns count="12">
    <tableColumn id="7" xr3:uid="{34354FAF-40E1-406D-8D77-6B69B2065197}" name="ID" dataDxfId="828" totalsRowDxfId="827"/>
    <tableColumn id="1" xr3:uid="{A6DF30BD-E123-418F-B18E-3AE4F2286948}" name="Nama" dataDxfId="826" totalsRowDxfId="825"/>
    <tableColumn id="2" xr3:uid="{C9AB9738-1549-490A-8645-F2D6A057407A}" name="Tanggal Pinjaman" dataDxfId="824" totalsRowDxfId="823"/>
    <tableColumn id="12" xr3:uid="{6F03BEA9-E9A8-419E-BE6C-6D9F5010AEBF}" name="Slicer" dataDxfId="822" totalsRowDxfId="821">
      <calculatedColumnFormula>TEXT(Pinjaman[[#This Row],[Tanggal Pinjaman]],"yyy-mm")</calculatedColumnFormula>
    </tableColumn>
    <tableColumn id="3" xr3:uid="{16CB3435-0608-4123-958C-F5304981C974}" name="Jumlah Pinjaman" totalsRowFunction="sum" dataDxfId="820" totalsRowDxfId="819" dataCellStyle="Currency [0]"/>
    <tableColumn id="10" xr3:uid="{C0EA8A78-D117-4C58-B4AC-62FCE55BFCB2}" name="Paid Off" totalsRowFunction="sum" dataDxfId="818" totalsRowDxfId="817" dataCellStyle="Currency [0]">
      <calculatedColumnFormula>IFERROR(IF(B4="","",SUMIFS(Cicilan[Jumlah Cicilan],Cicilan[ID],B4,Cicilan[Status],"Clear")),"")</calculatedColumnFormula>
    </tableColumn>
    <tableColumn id="11" xr3:uid="{CA4BA38D-EC13-485F-A1A1-2B14B8CD5104}" name="Status" dataDxfId="816" totalsRowDxfId="815" dataCellStyle="Currency [0]">
      <calculatedColumnFormula>IF(B4="","",IF(I4=0,"Lunas","Belum Lunas"))</calculatedColumnFormula>
    </tableColumn>
    <tableColumn id="8" xr3:uid="{CD564050-DF4B-4114-A8EA-49384DEFB7FD}" name="Remaining" totalsRowFunction="sum" dataDxfId="814" totalsRowDxfId="813" dataCellStyle="Currency [0]">
      <calculatedColumnFormula>F4-G4</calculatedColumnFormula>
    </tableColumn>
    <tableColumn id="6" xr3:uid="{9928E1CE-94D8-45A1-84CF-807A2D990EFC}" name="Berapa kali" dataDxfId="812" totalsRowDxfId="811" dataCellStyle="Currency [0]"/>
    <tableColumn id="5" xr3:uid="{DAE1434A-6F74-4369-84F0-A7142BAF8DFC}" name="Cicilan per Bulan" dataDxfId="810" totalsRowDxfId="809" dataCellStyle="Currency [0]"/>
    <tableColumn id="4" xr3:uid="{DCC03E04-B51D-4FB0-89F8-0150931484BF}" name="TF" dataDxfId="808" totalsRowDxfId="807"/>
    <tableColumn id="9" xr3:uid="{758D56DB-CF31-4EBA-9573-ACDFE8B163ED}" name="Cabang" dataDxfId="806" totalsRowDxfId="805"/>
  </tableColumns>
  <tableStyleInfo name="TableStyleLight11"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2388BD-7C95-42E0-9C4F-A13321B5972F}" name="Cicilan" displayName="Cicilan" ref="B3:I215" totalsRowCount="1" headerRowDxfId="804" dataDxfId="802" headerRowBorderDxfId="803" tableBorderDxfId="801">
  <autoFilter ref="B3:I214" xr:uid="{BB2388BD-7C95-42E0-9C4F-A13321B5972F}"/>
  <sortState xmlns:xlrd2="http://schemas.microsoft.com/office/spreadsheetml/2017/richdata2" ref="B4:I182">
    <sortCondition ref="E4:E157"/>
    <sortCondition ref="D4:D157" customList="PPA,SAP,SSL,SMB"/>
  </sortState>
  <tableColumns count="8">
    <tableColumn id="6" xr3:uid="{87808455-16EC-4F1F-866E-CBC3D2E2A034}" name="ID" dataDxfId="800" totalsRowDxfId="799"/>
    <tableColumn id="1" xr3:uid="{79383BE8-E11F-420A-826E-42C96A952EAD}" name="Nama" dataDxfId="798" totalsRowDxfId="797">
      <calculatedColumnFormula>INDEX(Pinjaman[Nama],MATCH(B4,Pinjaman[ID], 0))</calculatedColumnFormula>
    </tableColumn>
    <tableColumn id="8" xr3:uid="{E5E10798-8722-4E70-A590-BE051DE285DE}" name="Cabang" dataDxfId="796" totalsRowDxfId="795">
      <calculatedColumnFormula>INDEX(Pinjaman[Cabang],MATCH(B4,Pinjaman[ID], 0))</calculatedColumnFormula>
    </tableColumn>
    <tableColumn id="3" xr3:uid="{FF3A03EC-1D8B-4636-BD18-37C81782392B}" name="Periode Gaji" dataDxfId="794" totalsRowDxfId="793"/>
    <tableColumn id="7" xr3:uid="{3CBB0CD7-5244-466F-8F46-F4535B7CE032}" name="Slicer" dataDxfId="792" totalsRowDxfId="791">
      <calculatedColumnFormula>TEXT(Cicilan[[#This Row],[Periode Gaji]],"yyy-mm")</calculatedColumnFormula>
    </tableColumn>
    <tableColumn id="4" xr3:uid="{69A0DC61-93B6-4653-8D83-A5686D18B536}" name="Jumlah Cicilan" totalsRowFunction="sum" dataDxfId="790" totalsRowDxfId="789" dataCellStyle="Currency [0]" totalsRowCellStyle="Currency [0]"/>
    <tableColumn id="5" xr3:uid="{9AABE586-0DCD-457B-B168-61B2AB3FD31D}" name="Payment Methode" dataDxfId="788" totalsRowDxfId="787"/>
    <tableColumn id="2" xr3:uid="{4C3BC024-CCC5-4D52-909F-9119E6CF8538}" name="Status" dataDxfId="786" totalsRowDxfId="785"/>
  </tableColumns>
  <tableStyleInfo name="TableStyleLight10" showFirstColumn="1" showLastColumn="1"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3C234D-0876-4C95-B9B1-C7BC18367C37}" name="Table3" displayName="Table3" ref="P2:P21" totalsRowShown="0" headerRowDxfId="784">
  <autoFilter ref="P2:P21" xr:uid="{A33C234D-0876-4C95-B9B1-C7BC18367C37}"/>
  <sortState xmlns:xlrd2="http://schemas.microsoft.com/office/spreadsheetml/2017/richdata2" ref="P3:P20">
    <sortCondition ref="P2:P20"/>
  </sortState>
  <tableColumns count="1">
    <tableColumn id="1" xr3:uid="{0C536091-3DB6-4D19-9F27-753A96C775FE}" name="Method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33AF8-DB8C-450F-ABD6-FC53FBBC992C}">
  <dimension ref="B1:O37"/>
  <sheetViews>
    <sheetView showGridLines="0" topLeftCell="A3" zoomScale="55" zoomScaleNormal="55" workbookViewId="0">
      <selection sqref="A1:P38"/>
    </sheetView>
  </sheetViews>
  <sheetFormatPr defaultRowHeight="15" x14ac:dyDescent="0.25"/>
  <cols>
    <col min="1" max="1" width="2.85546875" customWidth="1"/>
    <col min="2" max="2" width="37.42578125" customWidth="1"/>
    <col min="3" max="6" width="13.140625" customWidth="1"/>
    <col min="7" max="7" width="16.140625" customWidth="1"/>
    <col min="8" max="15" width="13.140625" customWidth="1"/>
  </cols>
  <sheetData>
    <row r="1" spans="2:15" ht="38.25" customHeight="1" x14ac:dyDescent="0.25">
      <c r="B1" s="61"/>
      <c r="C1" s="63"/>
      <c r="D1" s="63"/>
      <c r="E1" s="63"/>
      <c r="F1" s="63"/>
      <c r="G1" s="63"/>
      <c r="H1" s="63"/>
      <c r="I1" s="63"/>
      <c r="J1" s="63"/>
      <c r="K1" s="63"/>
      <c r="L1" s="63"/>
      <c r="M1" s="63"/>
      <c r="N1" s="63"/>
      <c r="O1" s="63"/>
    </row>
    <row r="2" spans="2:15" x14ac:dyDescent="0.25">
      <c r="B2" s="61"/>
      <c r="C2" s="63"/>
      <c r="D2" s="63"/>
      <c r="E2" s="63"/>
      <c r="F2" s="63"/>
      <c r="G2" s="63"/>
      <c r="H2" s="63"/>
      <c r="I2" s="63"/>
      <c r="J2" s="63"/>
      <c r="K2" s="63"/>
      <c r="L2" s="63"/>
      <c r="M2" s="63"/>
      <c r="N2" s="63"/>
      <c r="O2" s="63"/>
    </row>
    <row r="3" spans="2:15" ht="19.5" customHeight="1" x14ac:dyDescent="0.25">
      <c r="B3" s="61"/>
      <c r="C3" s="63"/>
      <c r="D3" s="63"/>
      <c r="E3" s="63"/>
      <c r="F3" s="63"/>
      <c r="G3" s="63"/>
      <c r="H3" s="63"/>
      <c r="I3" s="63"/>
      <c r="J3" s="63"/>
      <c r="K3" s="63"/>
      <c r="L3" s="63"/>
      <c r="M3" s="63"/>
      <c r="N3" s="63"/>
      <c r="O3" s="63"/>
    </row>
    <row r="4" spans="2:15" x14ac:dyDescent="0.25">
      <c r="B4" s="61"/>
      <c r="C4" s="63"/>
      <c r="D4" s="63"/>
      <c r="E4" s="63"/>
      <c r="F4" s="63"/>
      <c r="G4" s="63"/>
      <c r="H4" s="63"/>
      <c r="I4" s="63"/>
      <c r="J4" s="63"/>
      <c r="K4" s="63"/>
      <c r="L4" s="63"/>
      <c r="M4" s="63"/>
      <c r="N4" s="63"/>
      <c r="O4" s="63"/>
    </row>
    <row r="5" spans="2:15" x14ac:dyDescent="0.25">
      <c r="B5" s="61"/>
      <c r="C5" s="63"/>
      <c r="D5" s="63"/>
      <c r="E5" s="63"/>
      <c r="F5" s="63"/>
      <c r="G5" s="63"/>
      <c r="H5" s="63"/>
      <c r="I5" s="63"/>
      <c r="J5" s="63"/>
      <c r="K5" s="63"/>
      <c r="L5" s="63"/>
      <c r="M5" s="63"/>
      <c r="N5" s="63"/>
      <c r="O5" s="63"/>
    </row>
    <row r="6" spans="2:15" ht="53.25" customHeight="1" x14ac:dyDescent="0.25">
      <c r="B6" s="61"/>
      <c r="C6" s="63"/>
      <c r="D6" s="63"/>
      <c r="E6" s="63"/>
      <c r="F6" s="63"/>
      <c r="G6" s="63"/>
      <c r="H6" s="63"/>
      <c r="I6" s="63"/>
      <c r="J6" s="63"/>
      <c r="K6" s="63"/>
      <c r="L6" s="63"/>
      <c r="M6" s="63"/>
      <c r="N6" s="63"/>
      <c r="O6" s="63"/>
    </row>
    <row r="7" spans="2:15" x14ac:dyDescent="0.25">
      <c r="B7" s="61"/>
      <c r="C7" s="63"/>
      <c r="D7" s="63"/>
      <c r="E7" s="63"/>
      <c r="F7" s="63"/>
      <c r="G7" s="63"/>
      <c r="H7" s="63"/>
      <c r="I7" s="63"/>
      <c r="J7" s="63"/>
      <c r="K7" s="63"/>
      <c r="L7" s="63"/>
      <c r="M7" s="63"/>
      <c r="N7" s="63"/>
      <c r="O7" s="63"/>
    </row>
    <row r="8" spans="2:15" ht="16.5" x14ac:dyDescent="0.3">
      <c r="B8" s="61"/>
      <c r="C8" s="63"/>
      <c r="D8" s="63"/>
      <c r="E8" s="63"/>
      <c r="F8" s="63"/>
      <c r="G8" s="63"/>
      <c r="H8" s="63"/>
      <c r="I8" s="63"/>
      <c r="J8" s="63"/>
      <c r="K8" s="63"/>
      <c r="L8" s="64"/>
      <c r="M8" s="63"/>
      <c r="N8" s="63"/>
      <c r="O8" s="63"/>
    </row>
    <row r="9" spans="2:15" x14ac:dyDescent="0.25">
      <c r="B9" s="61"/>
      <c r="C9" s="63"/>
      <c r="D9" s="63"/>
      <c r="E9" s="63"/>
      <c r="F9" s="63"/>
      <c r="G9" s="63"/>
      <c r="H9" s="63"/>
      <c r="I9" s="63"/>
      <c r="J9" s="63"/>
      <c r="K9" s="63"/>
      <c r="L9" s="63"/>
      <c r="M9" s="63"/>
      <c r="N9" s="63"/>
      <c r="O9" s="63"/>
    </row>
    <row r="10" spans="2:15" x14ac:dyDescent="0.25">
      <c r="B10" s="61"/>
      <c r="C10" s="63"/>
      <c r="D10" s="63"/>
      <c r="E10" s="63"/>
      <c r="F10" s="63"/>
      <c r="G10" s="63"/>
      <c r="H10" s="63"/>
      <c r="I10" s="63"/>
      <c r="J10" s="63"/>
      <c r="K10" s="63"/>
      <c r="L10" s="63"/>
      <c r="M10" s="63"/>
      <c r="N10" s="63"/>
      <c r="O10" s="63"/>
    </row>
    <row r="11" spans="2:15" x14ac:dyDescent="0.25">
      <c r="B11" s="61"/>
      <c r="C11" s="63"/>
      <c r="D11" s="63"/>
      <c r="E11" s="63"/>
      <c r="F11" s="63"/>
      <c r="G11" s="63"/>
      <c r="H11" s="63"/>
      <c r="I11" s="63"/>
      <c r="J11" s="63"/>
      <c r="K11" s="63"/>
      <c r="L11" s="63"/>
      <c r="M11" s="63"/>
      <c r="N11" s="63"/>
      <c r="O11" s="63"/>
    </row>
    <row r="12" spans="2:15" x14ac:dyDescent="0.25">
      <c r="B12" s="61"/>
      <c r="C12" s="63"/>
      <c r="D12" s="63"/>
      <c r="E12" s="63"/>
      <c r="F12" s="63"/>
      <c r="G12" s="63"/>
      <c r="H12" s="63"/>
      <c r="I12" s="63"/>
      <c r="J12" s="63"/>
      <c r="K12" s="63"/>
      <c r="L12" s="63"/>
      <c r="M12" s="63"/>
      <c r="N12" s="63"/>
      <c r="O12" s="63"/>
    </row>
    <row r="13" spans="2:15" x14ac:dyDescent="0.25">
      <c r="B13" s="61"/>
      <c r="C13" s="63"/>
      <c r="D13" s="63"/>
      <c r="E13" s="63"/>
      <c r="F13" s="63"/>
      <c r="G13" s="63"/>
      <c r="H13" s="63"/>
      <c r="I13" s="63"/>
      <c r="J13" s="63"/>
      <c r="K13" s="63"/>
      <c r="L13" s="63"/>
      <c r="M13" s="63"/>
      <c r="N13" s="63"/>
      <c r="O13" s="63"/>
    </row>
    <row r="14" spans="2:15" ht="16.5" x14ac:dyDescent="0.3">
      <c r="B14" s="61"/>
      <c r="C14" s="63"/>
      <c r="D14" s="63"/>
      <c r="E14" s="64"/>
      <c r="F14" s="63"/>
      <c r="G14" s="63"/>
      <c r="H14" s="63"/>
      <c r="I14" s="63"/>
      <c r="J14" s="63"/>
      <c r="K14" s="63"/>
      <c r="L14" s="63"/>
      <c r="M14" s="63"/>
      <c r="N14" s="63"/>
      <c r="O14" s="63"/>
    </row>
    <row r="15" spans="2:15" x14ac:dyDescent="0.25">
      <c r="B15" s="61"/>
      <c r="C15" s="63"/>
      <c r="D15" s="63"/>
      <c r="E15" s="63"/>
      <c r="F15" s="63"/>
      <c r="G15" s="63"/>
      <c r="H15" s="63"/>
      <c r="I15" s="63"/>
      <c r="J15" s="63"/>
      <c r="K15" s="63"/>
      <c r="L15" s="63"/>
      <c r="M15" s="63"/>
      <c r="N15" s="63"/>
      <c r="O15" s="63"/>
    </row>
    <row r="16" spans="2:15" x14ac:dyDescent="0.25">
      <c r="B16" s="61"/>
      <c r="C16" s="63"/>
      <c r="D16" s="63"/>
      <c r="E16" s="63"/>
      <c r="F16" s="63"/>
      <c r="G16" s="63"/>
      <c r="H16" s="63"/>
      <c r="I16" s="63"/>
      <c r="J16" s="63"/>
      <c r="K16" s="63"/>
      <c r="L16" s="63"/>
      <c r="M16" s="63"/>
      <c r="N16" s="63"/>
      <c r="O16" s="63"/>
    </row>
    <row r="17" spans="2:15" x14ac:dyDescent="0.25">
      <c r="B17" s="61"/>
      <c r="C17" s="63"/>
      <c r="D17" s="63"/>
      <c r="E17" s="63"/>
      <c r="F17" s="63"/>
      <c r="G17" s="63"/>
      <c r="H17" s="63"/>
      <c r="I17" s="63"/>
      <c r="J17" s="63"/>
      <c r="K17" s="63"/>
      <c r="L17" s="63"/>
      <c r="M17" s="63"/>
      <c r="N17" s="63"/>
      <c r="O17" s="63"/>
    </row>
    <row r="18" spans="2:15" x14ac:dyDescent="0.25">
      <c r="B18" s="61"/>
      <c r="C18" s="63"/>
      <c r="D18" s="63"/>
      <c r="E18" s="63"/>
      <c r="F18" s="63"/>
      <c r="G18" s="63"/>
      <c r="H18" s="63"/>
      <c r="I18" s="63"/>
      <c r="J18" s="63"/>
      <c r="K18" s="63"/>
      <c r="L18" s="63"/>
      <c r="M18" s="63"/>
      <c r="N18" s="63"/>
      <c r="O18" s="63"/>
    </row>
    <row r="19" spans="2:15" x14ac:dyDescent="0.25">
      <c r="B19" s="61"/>
      <c r="C19" s="63"/>
      <c r="D19" s="63"/>
      <c r="E19" s="63"/>
      <c r="F19" s="63"/>
      <c r="G19" s="63"/>
      <c r="H19" s="63"/>
      <c r="I19" s="63"/>
      <c r="J19" s="63"/>
      <c r="K19" s="63"/>
      <c r="L19" s="63"/>
      <c r="M19" s="63"/>
      <c r="N19" s="63"/>
      <c r="O19" s="63"/>
    </row>
    <row r="20" spans="2:15" x14ac:dyDescent="0.25">
      <c r="B20" s="61"/>
      <c r="C20" s="63"/>
      <c r="D20" s="63"/>
      <c r="E20" s="63"/>
      <c r="F20" s="63"/>
      <c r="G20" s="63"/>
      <c r="H20" s="63"/>
      <c r="I20" s="63"/>
      <c r="J20" s="63"/>
      <c r="K20" s="63"/>
      <c r="L20" s="63"/>
      <c r="M20" s="63"/>
      <c r="N20" s="63"/>
      <c r="O20" s="63"/>
    </row>
    <row r="21" spans="2:15" x14ac:dyDescent="0.25">
      <c r="B21" s="61"/>
      <c r="C21" s="63"/>
      <c r="D21" s="63"/>
      <c r="E21" s="63"/>
      <c r="F21" s="63"/>
      <c r="G21" s="63"/>
      <c r="H21" s="63"/>
      <c r="I21" s="63"/>
      <c r="J21" s="63"/>
      <c r="K21" s="63"/>
      <c r="L21" s="63"/>
      <c r="M21" s="63"/>
      <c r="N21" s="63"/>
      <c r="O21" s="63"/>
    </row>
    <row r="22" spans="2:15" x14ac:dyDescent="0.25">
      <c r="B22" s="61"/>
      <c r="C22" s="63"/>
      <c r="D22" s="63"/>
      <c r="E22" s="63"/>
      <c r="F22" s="63"/>
      <c r="G22" s="63"/>
      <c r="H22" s="63"/>
      <c r="I22" s="63"/>
      <c r="J22" s="63"/>
      <c r="K22" s="63"/>
      <c r="L22" s="63"/>
      <c r="M22" s="63"/>
      <c r="N22" s="63"/>
      <c r="O22" s="63"/>
    </row>
    <row r="23" spans="2:15" x14ac:dyDescent="0.25">
      <c r="B23" s="61"/>
      <c r="C23" s="63"/>
      <c r="D23" s="63"/>
      <c r="E23" s="63"/>
      <c r="F23" s="63"/>
      <c r="G23" s="63"/>
      <c r="H23" s="63"/>
      <c r="I23" s="63"/>
      <c r="J23" s="63"/>
      <c r="K23" s="63"/>
      <c r="L23" s="63"/>
      <c r="M23" s="63"/>
      <c r="N23" s="63"/>
      <c r="O23" s="63"/>
    </row>
    <row r="24" spans="2:15" ht="20.25" customHeight="1" x14ac:dyDescent="0.25">
      <c r="B24" s="61"/>
      <c r="C24" s="63"/>
      <c r="D24" s="63"/>
      <c r="E24" s="63"/>
      <c r="F24" s="63"/>
      <c r="G24" s="63"/>
      <c r="H24" s="63"/>
      <c r="I24" s="63"/>
      <c r="J24" s="63"/>
      <c r="K24" s="63"/>
      <c r="L24" s="63"/>
      <c r="M24" s="63"/>
      <c r="N24" s="63"/>
      <c r="O24" s="63"/>
    </row>
    <row r="25" spans="2:15" ht="20.25" customHeight="1" x14ac:dyDescent="0.25">
      <c r="B25" s="61"/>
      <c r="C25" s="63"/>
      <c r="D25" s="63"/>
      <c r="E25" s="63"/>
      <c r="F25" s="63"/>
      <c r="G25" s="63"/>
      <c r="H25" s="63"/>
      <c r="I25" s="63"/>
      <c r="J25" s="63"/>
      <c r="K25" s="63"/>
      <c r="L25" s="63"/>
      <c r="M25" s="63"/>
      <c r="N25" s="63"/>
      <c r="O25" s="63"/>
    </row>
    <row r="26" spans="2:15" x14ac:dyDescent="0.25">
      <c r="B26" s="61"/>
      <c r="C26" s="63"/>
      <c r="D26" s="63"/>
      <c r="E26" s="63"/>
      <c r="F26" s="63"/>
      <c r="G26" s="63"/>
      <c r="H26" s="63"/>
      <c r="I26" s="63"/>
      <c r="J26" s="63"/>
      <c r="K26" s="63"/>
      <c r="L26" s="63"/>
      <c r="M26" s="63"/>
      <c r="N26" s="63"/>
      <c r="O26" s="63"/>
    </row>
    <row r="27" spans="2:15" x14ac:dyDescent="0.25">
      <c r="B27" s="61"/>
      <c r="C27" s="63"/>
      <c r="D27" s="63"/>
      <c r="E27" s="63"/>
      <c r="F27" s="63"/>
      <c r="G27" s="63"/>
      <c r="H27" s="63"/>
      <c r="I27" s="63"/>
      <c r="J27" s="63"/>
      <c r="K27" s="63"/>
      <c r="L27" s="63"/>
      <c r="M27" s="63"/>
      <c r="N27" s="63"/>
      <c r="O27" s="63"/>
    </row>
    <row r="28" spans="2:15" x14ac:dyDescent="0.25">
      <c r="B28" s="61"/>
      <c r="C28" s="63"/>
      <c r="D28" s="63"/>
      <c r="E28" s="63"/>
      <c r="F28" s="63"/>
      <c r="G28" s="63"/>
      <c r="H28" s="63"/>
      <c r="I28" s="63"/>
      <c r="J28" s="63"/>
      <c r="K28" s="63"/>
      <c r="L28" s="63"/>
      <c r="M28" s="63"/>
      <c r="N28" s="63"/>
      <c r="O28" s="63"/>
    </row>
    <row r="29" spans="2:15" x14ac:dyDescent="0.25">
      <c r="B29" s="61"/>
      <c r="C29" s="63"/>
      <c r="D29" s="63"/>
      <c r="E29" s="63"/>
      <c r="F29" s="63"/>
      <c r="G29" s="63"/>
      <c r="H29" s="63"/>
      <c r="I29" s="63"/>
      <c r="J29" s="63"/>
      <c r="K29" s="63"/>
      <c r="L29" s="63"/>
      <c r="M29" s="63"/>
      <c r="N29" s="63"/>
      <c r="O29" s="63"/>
    </row>
    <row r="30" spans="2:15" x14ac:dyDescent="0.25">
      <c r="B30" s="61"/>
      <c r="C30" s="63"/>
      <c r="D30" s="63"/>
      <c r="E30" s="63"/>
      <c r="F30" s="63"/>
      <c r="G30" s="63"/>
      <c r="H30" s="63"/>
      <c r="I30" s="63"/>
      <c r="J30" s="63"/>
      <c r="K30" s="63"/>
      <c r="L30" s="63"/>
      <c r="M30" s="63"/>
      <c r="N30" s="63"/>
      <c r="O30" s="63"/>
    </row>
    <row r="31" spans="2:15" x14ac:dyDescent="0.25">
      <c r="B31" s="61"/>
      <c r="C31" s="63"/>
      <c r="D31" s="63"/>
      <c r="E31" s="63"/>
      <c r="F31" s="63"/>
      <c r="G31" s="63"/>
      <c r="H31" s="63"/>
      <c r="I31" s="63"/>
      <c r="J31" s="63"/>
      <c r="K31" s="63"/>
      <c r="L31" s="63"/>
      <c r="M31" s="63"/>
      <c r="N31" s="63"/>
      <c r="O31" s="63"/>
    </row>
    <row r="32" spans="2:15" x14ac:dyDescent="0.25">
      <c r="B32" s="61"/>
      <c r="C32" s="63"/>
      <c r="D32" s="63"/>
      <c r="E32" s="63"/>
      <c r="F32" s="63"/>
      <c r="G32" s="63"/>
      <c r="H32" s="63"/>
      <c r="I32" s="63"/>
      <c r="J32" s="63"/>
      <c r="K32" s="63"/>
      <c r="L32" s="63"/>
      <c r="M32" s="63"/>
      <c r="N32" s="63"/>
      <c r="O32" s="63"/>
    </row>
    <row r="33" spans="2:15" x14ac:dyDescent="0.25">
      <c r="B33" s="61"/>
      <c r="C33" s="63"/>
      <c r="D33" s="63"/>
      <c r="E33" s="63"/>
      <c r="F33" s="63"/>
      <c r="G33" s="63"/>
      <c r="H33" s="63"/>
      <c r="I33" s="63"/>
      <c r="J33" s="63"/>
      <c r="K33" s="63"/>
      <c r="L33" s="63"/>
      <c r="M33" s="63"/>
      <c r="N33" s="63"/>
      <c r="O33" s="63"/>
    </row>
    <row r="34" spans="2:15" x14ac:dyDescent="0.25">
      <c r="B34" s="61"/>
      <c r="C34" s="63"/>
      <c r="D34" s="63"/>
      <c r="E34" s="63"/>
      <c r="F34" s="63"/>
      <c r="G34" s="63"/>
      <c r="H34" s="63"/>
      <c r="I34" s="63"/>
      <c r="J34" s="63"/>
      <c r="K34" s="63"/>
      <c r="L34" s="63"/>
      <c r="M34" s="63"/>
      <c r="N34" s="63"/>
      <c r="O34" s="63"/>
    </row>
    <row r="35" spans="2:15" x14ac:dyDescent="0.25">
      <c r="B35" s="61"/>
      <c r="C35" s="63"/>
      <c r="D35" s="63"/>
      <c r="E35" s="63"/>
      <c r="F35" s="63"/>
      <c r="G35" s="63"/>
      <c r="H35" s="63"/>
      <c r="I35" s="63"/>
      <c r="J35" s="63"/>
      <c r="K35" s="63"/>
      <c r="L35" s="63"/>
      <c r="M35" s="63"/>
      <c r="N35" s="63"/>
      <c r="O35" s="63"/>
    </row>
    <row r="36" spans="2:15" x14ac:dyDescent="0.25">
      <c r="B36" s="61"/>
      <c r="C36" s="63"/>
      <c r="D36" s="63"/>
      <c r="E36" s="63"/>
      <c r="F36" s="63"/>
      <c r="G36" s="63"/>
      <c r="H36" s="63"/>
      <c r="I36" s="63"/>
      <c r="J36" s="63"/>
      <c r="K36" s="63"/>
      <c r="L36" s="63"/>
      <c r="M36" s="63"/>
      <c r="N36" s="63"/>
      <c r="O36" s="63"/>
    </row>
    <row r="37" spans="2:15" x14ac:dyDescent="0.25">
      <c r="B37" s="61"/>
      <c r="C37" s="63"/>
      <c r="D37" s="63"/>
      <c r="E37" s="63"/>
      <c r="F37" s="63"/>
      <c r="G37" s="63"/>
      <c r="H37" s="63"/>
      <c r="I37" s="63"/>
      <c r="J37" s="63"/>
      <c r="K37" s="63"/>
      <c r="L37" s="63"/>
      <c r="M37" s="63"/>
      <c r="N37" s="63"/>
      <c r="O37" s="6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BE857-11A8-421E-AD3C-C7CC6693C212}">
  <sheetPr codeName="Sheet4"/>
  <dimension ref="A2:K97"/>
  <sheetViews>
    <sheetView showGridLines="0" tabSelected="1" zoomScaleNormal="100" workbookViewId="0">
      <pane xSplit="4" ySplit="6" topLeftCell="E16" activePane="bottomRight" state="frozen"/>
      <selection pane="topRight" activeCell="E1" sqref="E1"/>
      <selection pane="bottomLeft" activeCell="A7" sqref="A7"/>
      <selection pane="bottomRight" activeCell="Q28" sqref="Q28"/>
    </sheetView>
  </sheetViews>
  <sheetFormatPr defaultRowHeight="15" x14ac:dyDescent="0.25"/>
  <cols>
    <col min="1" max="1" width="1.7109375" customWidth="1"/>
    <col min="2" max="2" width="11.140625" customWidth="1"/>
    <col min="3" max="3" width="11.85546875" customWidth="1"/>
    <col min="4" max="4" width="11.42578125" bestFit="1" customWidth="1"/>
    <col min="5" max="5" width="10.85546875" customWidth="1"/>
    <col min="6" max="6" width="11" bestFit="1" customWidth="1"/>
    <col min="7" max="7" width="13.5703125" bestFit="1" customWidth="1"/>
    <col min="8" max="10" width="9.85546875" bestFit="1" customWidth="1"/>
    <col min="11" max="11" width="9.85546875" style="56" bestFit="1" customWidth="1"/>
    <col min="12" max="20" width="9.85546875" bestFit="1" customWidth="1"/>
    <col min="21" max="24" width="18.5703125" bestFit="1" customWidth="1"/>
    <col min="25" max="35" width="10.42578125" bestFit="1" customWidth="1"/>
    <col min="36" max="36" width="10.28515625" bestFit="1" customWidth="1"/>
  </cols>
  <sheetData>
    <row r="2" spans="2:11" x14ac:dyDescent="0.25">
      <c r="B2" s="6" t="s">
        <v>38</v>
      </c>
      <c r="C2" s="1" t="s" vm="2">
        <v>60</v>
      </c>
    </row>
    <row r="3" spans="2:11" x14ac:dyDescent="0.25">
      <c r="B3" s="6" t="s">
        <v>66</v>
      </c>
      <c r="C3" s="1" t="s" vm="1">
        <v>60</v>
      </c>
    </row>
    <row r="5" spans="2:11" x14ac:dyDescent="0.25">
      <c r="B5" s="20" t="s">
        <v>86</v>
      </c>
      <c r="C5" s="21"/>
      <c r="D5" s="21"/>
      <c r="E5" s="21"/>
      <c r="F5" s="21"/>
      <c r="G5" s="20" t="s">
        <v>202</v>
      </c>
      <c r="H5" s="21"/>
      <c r="I5" s="21"/>
      <c r="J5" s="21"/>
      <c r="K5" s="21"/>
    </row>
    <row r="6" spans="2:11" x14ac:dyDescent="0.25">
      <c r="B6" s="6" t="s">
        <v>199</v>
      </c>
      <c r="C6" s="20" t="s">
        <v>218</v>
      </c>
      <c r="D6" s="20" t="s">
        <v>58</v>
      </c>
      <c r="E6" s="20" t="s">
        <v>200</v>
      </c>
      <c r="F6" s="20" t="s">
        <v>201</v>
      </c>
      <c r="G6" s="69">
        <v>45870</v>
      </c>
      <c r="H6" s="69">
        <v>45901</v>
      </c>
      <c r="I6" s="69">
        <v>45931</v>
      </c>
      <c r="J6" s="69">
        <v>45962</v>
      </c>
      <c r="K6" s="69">
        <v>45992</v>
      </c>
    </row>
    <row r="7" spans="2:11" x14ac:dyDescent="0.25">
      <c r="B7" s="68" t="s">
        <v>68</v>
      </c>
      <c r="C7" s="53" t="s">
        <v>158</v>
      </c>
      <c r="D7" s="44">
        <v>3500000</v>
      </c>
      <c r="E7" s="54">
        <v>45895</v>
      </c>
      <c r="F7" s="55">
        <v>5000000</v>
      </c>
      <c r="G7" s="67"/>
      <c r="H7" s="70">
        <v>500000</v>
      </c>
      <c r="I7" s="70">
        <v>500000</v>
      </c>
      <c r="J7" s="70">
        <v>500000</v>
      </c>
      <c r="K7" s="70">
        <v>500000</v>
      </c>
    </row>
    <row r="8" spans="2:11" x14ac:dyDescent="0.25">
      <c r="B8" s="68"/>
      <c r="C8" s="53" t="s">
        <v>161</v>
      </c>
      <c r="D8" s="44">
        <v>0</v>
      </c>
      <c r="E8" s="54">
        <v>45883</v>
      </c>
      <c r="F8" s="55">
        <v>2000000</v>
      </c>
      <c r="G8" s="70">
        <v>500000</v>
      </c>
      <c r="H8" s="70">
        <v>500000</v>
      </c>
      <c r="I8" s="70">
        <v>500000</v>
      </c>
      <c r="J8" s="70">
        <v>500000</v>
      </c>
      <c r="K8" s="67"/>
    </row>
    <row r="9" spans="2:11" x14ac:dyDescent="0.25">
      <c r="B9" s="51" t="s">
        <v>123</v>
      </c>
      <c r="C9" s="51"/>
      <c r="D9" s="51"/>
      <c r="E9" s="51"/>
      <c r="F9" s="51"/>
      <c r="G9" s="52">
        <v>500000</v>
      </c>
      <c r="H9" s="52">
        <v>1000000</v>
      </c>
      <c r="I9" s="52">
        <v>1000000</v>
      </c>
      <c r="J9" s="52">
        <v>1000000</v>
      </c>
      <c r="K9" s="52">
        <v>500000</v>
      </c>
    </row>
    <row r="10" spans="2:11" x14ac:dyDescent="0.25">
      <c r="B10" s="68" t="s">
        <v>148</v>
      </c>
      <c r="C10" s="53" t="s">
        <v>162</v>
      </c>
      <c r="D10" s="44">
        <v>1500000</v>
      </c>
      <c r="E10" s="54">
        <v>45919</v>
      </c>
      <c r="F10" s="55">
        <v>3000000</v>
      </c>
      <c r="G10" s="67"/>
      <c r="H10" s="70">
        <v>500000</v>
      </c>
      <c r="I10" s="70">
        <v>500000</v>
      </c>
      <c r="J10" s="70">
        <v>500000</v>
      </c>
      <c r="K10" s="70">
        <v>500000</v>
      </c>
    </row>
    <row r="11" spans="2:11" x14ac:dyDescent="0.25">
      <c r="B11" s="68"/>
      <c r="C11" s="53" t="s">
        <v>192</v>
      </c>
      <c r="D11" s="44">
        <v>0</v>
      </c>
      <c r="E11" s="54">
        <v>45702</v>
      </c>
      <c r="F11" s="55">
        <v>875000</v>
      </c>
      <c r="G11" s="70">
        <v>100000</v>
      </c>
      <c r="H11" s="70">
        <v>100000</v>
      </c>
      <c r="I11" s="70">
        <v>75000</v>
      </c>
      <c r="J11" s="67"/>
      <c r="K11" s="67"/>
    </row>
    <row r="12" spans="2:11" x14ac:dyDescent="0.25">
      <c r="B12" s="51" t="s">
        <v>150</v>
      </c>
      <c r="C12" s="51"/>
      <c r="D12" s="51"/>
      <c r="E12" s="51"/>
      <c r="F12" s="51"/>
      <c r="G12" s="52">
        <v>100000</v>
      </c>
      <c r="H12" s="52">
        <v>600000</v>
      </c>
      <c r="I12" s="52">
        <v>575000</v>
      </c>
      <c r="J12" s="52">
        <v>500000</v>
      </c>
      <c r="K12" s="52">
        <v>500000</v>
      </c>
    </row>
    <row r="13" spans="2:11" x14ac:dyDescent="0.25">
      <c r="B13" s="68" t="s">
        <v>145</v>
      </c>
      <c r="C13" s="53" t="s">
        <v>176</v>
      </c>
      <c r="D13" s="44">
        <v>0</v>
      </c>
      <c r="E13" s="54">
        <v>45919</v>
      </c>
      <c r="F13" s="55">
        <v>5000000</v>
      </c>
      <c r="G13" s="67"/>
      <c r="H13" s="70">
        <v>2000000</v>
      </c>
      <c r="I13" s="70">
        <v>1500000</v>
      </c>
      <c r="J13" s="70">
        <v>1500000</v>
      </c>
      <c r="K13" s="67"/>
    </row>
    <row r="14" spans="2:11" x14ac:dyDescent="0.25">
      <c r="B14" s="68"/>
      <c r="C14" s="53" t="s">
        <v>151</v>
      </c>
      <c r="D14" s="44">
        <v>0</v>
      </c>
      <c r="E14" s="54">
        <v>45701</v>
      </c>
      <c r="F14" s="55">
        <v>3566100</v>
      </c>
      <c r="G14" s="70">
        <v>1316100</v>
      </c>
      <c r="H14" s="67"/>
      <c r="I14" s="67"/>
      <c r="J14" s="67"/>
      <c r="K14" s="67"/>
    </row>
    <row r="15" spans="2:11" x14ac:dyDescent="0.25">
      <c r="B15" s="68"/>
      <c r="C15" s="53" t="s">
        <v>26</v>
      </c>
      <c r="D15" s="44">
        <v>0</v>
      </c>
      <c r="E15" s="54">
        <v>45920</v>
      </c>
      <c r="F15" s="55">
        <v>5000000</v>
      </c>
      <c r="G15" s="67"/>
      <c r="H15" s="70">
        <v>2500000</v>
      </c>
      <c r="I15" s="70">
        <v>2500000</v>
      </c>
      <c r="J15" s="67"/>
      <c r="K15" s="67"/>
    </row>
    <row r="16" spans="2:11" x14ac:dyDescent="0.25">
      <c r="B16" s="68"/>
      <c r="C16" s="53" t="s">
        <v>203</v>
      </c>
      <c r="D16" s="44">
        <v>0</v>
      </c>
      <c r="E16" s="54">
        <v>45784</v>
      </c>
      <c r="F16" s="55">
        <v>4000000</v>
      </c>
      <c r="G16" s="70">
        <v>1000000</v>
      </c>
      <c r="H16" s="67"/>
      <c r="I16" s="67"/>
      <c r="J16" s="67"/>
      <c r="K16" s="67"/>
    </row>
    <row r="17" spans="2:11" x14ac:dyDescent="0.25">
      <c r="B17" s="68"/>
      <c r="C17" s="53"/>
      <c r="D17" s="44">
        <v>2000000</v>
      </c>
      <c r="E17" s="54">
        <v>45931</v>
      </c>
      <c r="F17" s="55">
        <v>3000000</v>
      </c>
      <c r="G17" s="67"/>
      <c r="H17" s="67"/>
      <c r="I17" s="70">
        <v>1000000</v>
      </c>
      <c r="J17" s="67"/>
      <c r="K17" s="70">
        <v>1000000</v>
      </c>
    </row>
    <row r="18" spans="2:11" x14ac:dyDescent="0.25">
      <c r="B18" s="68"/>
      <c r="C18" s="53" t="s">
        <v>204</v>
      </c>
      <c r="D18" s="44">
        <v>3000000</v>
      </c>
      <c r="E18" s="54">
        <v>45979</v>
      </c>
      <c r="F18" s="55">
        <v>3000000</v>
      </c>
      <c r="G18" s="67"/>
      <c r="H18" s="67"/>
      <c r="I18" s="67"/>
      <c r="J18" s="67"/>
      <c r="K18" s="70">
        <v>500000</v>
      </c>
    </row>
    <row r="19" spans="2:11" x14ac:dyDescent="0.25">
      <c r="B19" s="68"/>
      <c r="C19" s="53" t="s">
        <v>153</v>
      </c>
      <c r="D19" s="44">
        <v>1000000</v>
      </c>
      <c r="E19" s="54">
        <v>45880</v>
      </c>
      <c r="F19" s="55">
        <v>5000000</v>
      </c>
      <c r="G19" s="70">
        <v>1000000</v>
      </c>
      <c r="H19" s="70">
        <v>1000000</v>
      </c>
      <c r="I19" s="70">
        <v>1000000</v>
      </c>
      <c r="J19" s="70">
        <v>1000000</v>
      </c>
      <c r="K19" s="70">
        <v>1000000</v>
      </c>
    </row>
    <row r="20" spans="2:11" x14ac:dyDescent="0.25">
      <c r="B20" s="68"/>
      <c r="C20" s="53" t="s">
        <v>184</v>
      </c>
      <c r="D20" s="44">
        <v>0</v>
      </c>
      <c r="E20" s="54">
        <v>45919</v>
      </c>
      <c r="F20" s="55">
        <v>15000000</v>
      </c>
      <c r="G20" s="67"/>
      <c r="H20" s="70">
        <v>5000000</v>
      </c>
      <c r="I20" s="70">
        <v>5000000</v>
      </c>
      <c r="J20" s="70">
        <v>5000000</v>
      </c>
      <c r="K20" s="67"/>
    </row>
    <row r="21" spans="2:11" x14ac:dyDescent="0.25">
      <c r="B21" s="68"/>
      <c r="C21" s="53" t="s">
        <v>171</v>
      </c>
      <c r="D21" s="44">
        <v>2250000</v>
      </c>
      <c r="E21" s="54">
        <v>45964</v>
      </c>
      <c r="F21" s="55">
        <v>3000000</v>
      </c>
      <c r="G21" s="67"/>
      <c r="H21" s="67"/>
      <c r="I21" s="67"/>
      <c r="J21" s="70">
        <v>750000</v>
      </c>
      <c r="K21" s="70">
        <v>750000</v>
      </c>
    </row>
    <row r="22" spans="2:11" x14ac:dyDescent="0.25">
      <c r="B22" s="51" t="s">
        <v>146</v>
      </c>
      <c r="C22" s="51"/>
      <c r="D22" s="51"/>
      <c r="E22" s="51"/>
      <c r="F22" s="51"/>
      <c r="G22" s="52">
        <v>3316100</v>
      </c>
      <c r="H22" s="52">
        <v>10500000</v>
      </c>
      <c r="I22" s="52">
        <v>11000000</v>
      </c>
      <c r="J22" s="52">
        <v>8250000</v>
      </c>
      <c r="K22" s="52">
        <v>3250000</v>
      </c>
    </row>
    <row r="23" spans="2:11" x14ac:dyDescent="0.25">
      <c r="B23" s="68" t="s">
        <v>147</v>
      </c>
      <c r="C23" s="53" t="s">
        <v>172</v>
      </c>
      <c r="D23" s="44">
        <v>0</v>
      </c>
      <c r="E23" s="54">
        <v>45849</v>
      </c>
      <c r="F23" s="55">
        <v>3000000</v>
      </c>
      <c r="G23" s="70">
        <v>1500000</v>
      </c>
      <c r="H23" s="67"/>
      <c r="I23" s="67"/>
      <c r="J23" s="67"/>
      <c r="K23" s="67"/>
    </row>
    <row r="24" spans="2:11" x14ac:dyDescent="0.25">
      <c r="B24" s="68"/>
      <c r="C24" s="53"/>
      <c r="D24" s="44"/>
      <c r="E24" s="54">
        <v>45924</v>
      </c>
      <c r="F24" s="55">
        <v>3000000</v>
      </c>
      <c r="G24" s="67"/>
      <c r="H24" s="70">
        <v>1000000</v>
      </c>
      <c r="I24" s="70">
        <v>2000000</v>
      </c>
      <c r="J24" s="67"/>
      <c r="K24" s="67"/>
    </row>
    <row r="25" spans="2:11" x14ac:dyDescent="0.25">
      <c r="B25" s="68"/>
      <c r="C25" s="53" t="s">
        <v>178</v>
      </c>
      <c r="D25" s="44">
        <v>0</v>
      </c>
      <c r="E25" s="54">
        <v>45912</v>
      </c>
      <c r="F25" s="55">
        <v>5000000</v>
      </c>
      <c r="G25" s="70">
        <v>2500000</v>
      </c>
      <c r="H25" s="70">
        <v>1000000</v>
      </c>
      <c r="I25" s="70">
        <v>1500000</v>
      </c>
      <c r="J25" s="67"/>
      <c r="K25" s="67"/>
    </row>
    <row r="26" spans="2:11" x14ac:dyDescent="0.25">
      <c r="B26" s="68"/>
      <c r="C26" s="53" t="s">
        <v>152</v>
      </c>
      <c r="D26" s="44">
        <v>0</v>
      </c>
      <c r="E26" s="54">
        <v>45912</v>
      </c>
      <c r="F26" s="55">
        <v>1500000</v>
      </c>
      <c r="G26" s="67"/>
      <c r="H26" s="70">
        <v>500000</v>
      </c>
      <c r="I26" s="70">
        <v>500000</v>
      </c>
      <c r="J26" s="70">
        <v>500000</v>
      </c>
      <c r="K26" s="67"/>
    </row>
    <row r="27" spans="2:11" x14ac:dyDescent="0.25">
      <c r="B27" s="68"/>
      <c r="C27" s="53" t="s">
        <v>155</v>
      </c>
      <c r="D27" s="44">
        <v>0</v>
      </c>
      <c r="E27" s="54">
        <v>45910</v>
      </c>
      <c r="F27" s="55">
        <v>1000000</v>
      </c>
      <c r="G27" s="67"/>
      <c r="H27" s="70">
        <v>500000</v>
      </c>
      <c r="I27" s="70">
        <v>500000</v>
      </c>
      <c r="J27" s="67"/>
      <c r="K27" s="67"/>
    </row>
    <row r="28" spans="2:11" x14ac:dyDescent="0.25">
      <c r="B28" s="68"/>
      <c r="C28" s="53" t="s">
        <v>159</v>
      </c>
      <c r="D28" s="44">
        <v>0</v>
      </c>
      <c r="E28" s="54">
        <v>45880</v>
      </c>
      <c r="F28" s="55">
        <v>5000000</v>
      </c>
      <c r="G28" s="70">
        <v>2500000</v>
      </c>
      <c r="H28" s="67"/>
      <c r="I28" s="70">
        <v>1500000</v>
      </c>
      <c r="J28" s="70">
        <v>1000000</v>
      </c>
      <c r="K28" s="67"/>
    </row>
    <row r="29" spans="2:11" x14ac:dyDescent="0.25">
      <c r="B29" s="68"/>
      <c r="C29" s="53" t="s">
        <v>164</v>
      </c>
      <c r="D29" s="44">
        <v>0</v>
      </c>
      <c r="E29" s="54">
        <v>45827</v>
      </c>
      <c r="F29" s="55">
        <v>2000000</v>
      </c>
      <c r="G29" s="70">
        <v>500000</v>
      </c>
      <c r="H29" s="70">
        <v>500000</v>
      </c>
      <c r="I29" s="67"/>
      <c r="J29" s="67"/>
      <c r="K29" s="67"/>
    </row>
    <row r="30" spans="2:11" x14ac:dyDescent="0.25">
      <c r="B30" s="68"/>
      <c r="C30" s="53"/>
      <c r="D30" s="44">
        <v>500000</v>
      </c>
      <c r="E30" s="54">
        <v>45959</v>
      </c>
      <c r="F30" s="55">
        <v>1000000</v>
      </c>
      <c r="G30" s="67"/>
      <c r="H30" s="67"/>
      <c r="I30" s="67"/>
      <c r="J30" s="70">
        <v>500000</v>
      </c>
      <c r="K30" s="70">
        <v>500000</v>
      </c>
    </row>
    <row r="31" spans="2:11" x14ac:dyDescent="0.25">
      <c r="B31" s="68"/>
      <c r="C31" s="53" t="s">
        <v>168</v>
      </c>
      <c r="D31" s="44">
        <v>0</v>
      </c>
      <c r="E31" s="54">
        <v>45926</v>
      </c>
      <c r="F31" s="55">
        <v>3000000</v>
      </c>
      <c r="G31" s="67"/>
      <c r="H31" s="70">
        <v>1000000</v>
      </c>
      <c r="I31" s="70">
        <v>1000000</v>
      </c>
      <c r="J31" s="70">
        <v>1000000</v>
      </c>
      <c r="K31" s="67"/>
    </row>
    <row r="32" spans="2:11" x14ac:dyDescent="0.25">
      <c r="B32" s="51" t="s">
        <v>149</v>
      </c>
      <c r="C32" s="51"/>
      <c r="D32" s="51"/>
      <c r="E32" s="51"/>
      <c r="F32" s="51"/>
      <c r="G32" s="52">
        <v>7000000</v>
      </c>
      <c r="H32" s="52">
        <v>4500000</v>
      </c>
      <c r="I32" s="52">
        <v>7000000</v>
      </c>
      <c r="J32" s="52">
        <v>3000000</v>
      </c>
      <c r="K32" s="52">
        <v>500000</v>
      </c>
    </row>
    <row r="33" spans="2:11" x14ac:dyDescent="0.25">
      <c r="B33" s="68" t="s">
        <v>117</v>
      </c>
      <c r="C33" s="53" t="s">
        <v>154</v>
      </c>
      <c r="D33" s="44">
        <v>0</v>
      </c>
      <c r="E33" s="54">
        <v>45894</v>
      </c>
      <c r="F33" s="55">
        <v>3000000</v>
      </c>
      <c r="G33" s="70">
        <v>1500000</v>
      </c>
      <c r="H33" s="70">
        <v>1500000</v>
      </c>
      <c r="I33" s="67"/>
      <c r="J33" s="67"/>
      <c r="K33" s="67"/>
    </row>
    <row r="34" spans="2:11" x14ac:dyDescent="0.25">
      <c r="B34" s="68"/>
      <c r="C34" s="53"/>
      <c r="D34" s="44">
        <v>2000000</v>
      </c>
      <c r="E34" s="54">
        <v>45958</v>
      </c>
      <c r="F34" s="55">
        <v>4000000</v>
      </c>
      <c r="G34" s="67"/>
      <c r="H34" s="67"/>
      <c r="I34" s="67"/>
      <c r="J34" s="70">
        <v>2000000</v>
      </c>
      <c r="K34" s="70">
        <v>2000000</v>
      </c>
    </row>
    <row r="35" spans="2:11" x14ac:dyDescent="0.25">
      <c r="B35" s="68"/>
      <c r="C35" s="53" t="s">
        <v>156</v>
      </c>
      <c r="D35" s="44">
        <v>0</v>
      </c>
      <c r="E35" s="54">
        <v>45831</v>
      </c>
      <c r="F35" s="55">
        <v>2000000</v>
      </c>
      <c r="G35" s="70">
        <v>1000000</v>
      </c>
      <c r="H35" s="70">
        <v>1000000</v>
      </c>
      <c r="I35" s="67"/>
      <c r="J35" s="67"/>
      <c r="K35" s="67"/>
    </row>
    <row r="36" spans="2:11" x14ac:dyDescent="0.25">
      <c r="B36" s="68"/>
      <c r="C36" s="53"/>
      <c r="D36" s="44">
        <v>1000000</v>
      </c>
      <c r="E36" s="54">
        <v>45958</v>
      </c>
      <c r="F36" s="55">
        <v>2000000</v>
      </c>
      <c r="G36" s="67"/>
      <c r="H36" s="67"/>
      <c r="I36" s="67"/>
      <c r="J36" s="70">
        <v>1000000</v>
      </c>
      <c r="K36" s="70">
        <v>1000000</v>
      </c>
    </row>
    <row r="37" spans="2:11" x14ac:dyDescent="0.25">
      <c r="B37" s="68"/>
      <c r="C37" s="53" t="s">
        <v>191</v>
      </c>
      <c r="D37" s="44">
        <v>0</v>
      </c>
      <c r="E37" s="54">
        <v>45894</v>
      </c>
      <c r="F37" s="55">
        <v>2000000</v>
      </c>
      <c r="G37" s="70">
        <v>2000000</v>
      </c>
      <c r="H37" s="67"/>
      <c r="I37" s="67"/>
      <c r="J37" s="67"/>
      <c r="K37" s="67"/>
    </row>
    <row r="38" spans="2:11" x14ac:dyDescent="0.25">
      <c r="B38" s="68"/>
      <c r="C38" s="53"/>
      <c r="D38" s="44"/>
      <c r="E38" s="54">
        <v>45950</v>
      </c>
      <c r="F38" s="55">
        <v>1000000</v>
      </c>
      <c r="G38" s="67"/>
      <c r="H38" s="67"/>
      <c r="I38" s="70">
        <v>1000000</v>
      </c>
      <c r="J38" s="67"/>
      <c r="K38" s="67"/>
    </row>
    <row r="39" spans="2:11" x14ac:dyDescent="0.25">
      <c r="B39" s="51" t="s">
        <v>124</v>
      </c>
      <c r="C39" s="51"/>
      <c r="D39" s="51"/>
      <c r="E39" s="51"/>
      <c r="F39" s="51"/>
      <c r="G39" s="52">
        <v>4500000</v>
      </c>
      <c r="H39" s="52">
        <v>2500000</v>
      </c>
      <c r="I39" s="52">
        <v>1000000</v>
      </c>
      <c r="J39" s="52">
        <v>3000000</v>
      </c>
      <c r="K39" s="52">
        <v>3000000</v>
      </c>
    </row>
    <row r="40" spans="2:11" x14ac:dyDescent="0.25">
      <c r="B40" s="68" t="s">
        <v>119</v>
      </c>
      <c r="C40" s="53" t="s">
        <v>114</v>
      </c>
      <c r="D40" s="44">
        <v>0</v>
      </c>
      <c r="E40" s="54">
        <v>45924</v>
      </c>
      <c r="F40" s="55">
        <v>3000000</v>
      </c>
      <c r="G40" s="67"/>
      <c r="H40" s="70">
        <v>1000000</v>
      </c>
      <c r="I40" s="70">
        <v>1000000</v>
      </c>
      <c r="J40" s="70">
        <v>1000000</v>
      </c>
      <c r="K40" s="67"/>
    </row>
    <row r="41" spans="2:11" x14ac:dyDescent="0.25">
      <c r="B41" s="68"/>
      <c r="C41" s="53" t="s">
        <v>157</v>
      </c>
      <c r="D41" s="44">
        <v>0</v>
      </c>
      <c r="E41" s="54">
        <v>45901</v>
      </c>
      <c r="F41" s="55">
        <v>3000000</v>
      </c>
      <c r="G41" s="70">
        <v>3000000</v>
      </c>
      <c r="H41" s="67"/>
      <c r="I41" s="67"/>
      <c r="J41" s="67"/>
      <c r="K41" s="67"/>
    </row>
    <row r="42" spans="2:11" x14ac:dyDescent="0.25">
      <c r="B42" s="68"/>
      <c r="C42" s="53"/>
      <c r="D42" s="44"/>
      <c r="E42" s="54">
        <v>45936</v>
      </c>
      <c r="F42" s="55">
        <v>3000000</v>
      </c>
      <c r="G42" s="67"/>
      <c r="H42" s="70">
        <v>3000000</v>
      </c>
      <c r="I42" s="67"/>
      <c r="J42" s="67"/>
      <c r="K42" s="67"/>
    </row>
    <row r="43" spans="2:11" x14ac:dyDescent="0.25">
      <c r="B43" s="68"/>
      <c r="C43" s="53"/>
      <c r="D43" s="44"/>
      <c r="E43" s="54">
        <v>45964</v>
      </c>
      <c r="F43" s="55">
        <v>3000000</v>
      </c>
      <c r="G43" s="67"/>
      <c r="H43" s="67"/>
      <c r="I43" s="70">
        <v>3000000</v>
      </c>
      <c r="J43" s="67"/>
      <c r="K43" s="67"/>
    </row>
    <row r="44" spans="2:11" x14ac:dyDescent="0.25">
      <c r="B44" s="68"/>
      <c r="C44" s="53"/>
      <c r="D44" s="44"/>
      <c r="E44" s="54">
        <v>45993</v>
      </c>
      <c r="F44" s="55">
        <v>3000000</v>
      </c>
      <c r="G44" s="67"/>
      <c r="H44" s="67"/>
      <c r="I44" s="67"/>
      <c r="J44" s="70">
        <v>3000000</v>
      </c>
      <c r="K44" s="67"/>
    </row>
    <row r="45" spans="2:11" x14ac:dyDescent="0.25">
      <c r="B45" s="68"/>
      <c r="C45" s="53" t="s">
        <v>165</v>
      </c>
      <c r="D45" s="44">
        <v>0</v>
      </c>
      <c r="E45" s="54">
        <v>45902</v>
      </c>
      <c r="F45" s="55">
        <v>500000</v>
      </c>
      <c r="G45" s="67"/>
      <c r="H45" s="70">
        <v>500000</v>
      </c>
      <c r="I45" s="67"/>
      <c r="J45" s="67"/>
      <c r="K45" s="67"/>
    </row>
    <row r="46" spans="2:11" x14ac:dyDescent="0.25">
      <c r="B46" s="68"/>
      <c r="C46" s="53"/>
      <c r="D46" s="44">
        <v>1000000</v>
      </c>
      <c r="E46" s="54">
        <v>45951</v>
      </c>
      <c r="F46" s="55">
        <v>2000000</v>
      </c>
      <c r="G46" s="67"/>
      <c r="H46" s="67"/>
      <c r="I46" s="70">
        <v>500000</v>
      </c>
      <c r="J46" s="70">
        <v>500000</v>
      </c>
      <c r="K46" s="70">
        <v>1000000</v>
      </c>
    </row>
    <row r="47" spans="2:11" x14ac:dyDescent="0.25">
      <c r="B47" s="51" t="s">
        <v>125</v>
      </c>
      <c r="C47" s="51"/>
      <c r="D47" s="51"/>
      <c r="E47" s="51"/>
      <c r="F47" s="51"/>
      <c r="G47" s="52">
        <v>3000000</v>
      </c>
      <c r="H47" s="52">
        <v>4500000</v>
      </c>
      <c r="I47" s="52">
        <v>4500000</v>
      </c>
      <c r="J47" s="52">
        <v>4500000</v>
      </c>
      <c r="K47" s="52">
        <v>1000000</v>
      </c>
    </row>
    <row r="48" spans="2:11" x14ac:dyDescent="0.25">
      <c r="B48" s="68" t="s">
        <v>118</v>
      </c>
      <c r="C48" s="53" t="s">
        <v>175</v>
      </c>
      <c r="D48" s="44">
        <v>0</v>
      </c>
      <c r="E48" s="54">
        <v>45910</v>
      </c>
      <c r="F48" s="55">
        <v>2000000</v>
      </c>
      <c r="G48" s="67"/>
      <c r="H48" s="70">
        <v>2000000</v>
      </c>
      <c r="I48" s="67"/>
      <c r="J48" s="67"/>
      <c r="K48" s="67"/>
    </row>
    <row r="49" spans="2:11" x14ac:dyDescent="0.25">
      <c r="B49" s="68"/>
      <c r="C49" s="53" t="s">
        <v>177</v>
      </c>
      <c r="D49" s="44">
        <v>0</v>
      </c>
      <c r="E49" s="54">
        <v>45926</v>
      </c>
      <c r="F49" s="55">
        <v>3000000</v>
      </c>
      <c r="G49" s="67"/>
      <c r="H49" s="70">
        <v>1000000</v>
      </c>
      <c r="I49" s="70">
        <v>1000000</v>
      </c>
      <c r="J49" s="70">
        <v>1000000</v>
      </c>
      <c r="K49" s="67"/>
    </row>
    <row r="50" spans="2:11" x14ac:dyDescent="0.25">
      <c r="B50" s="68"/>
      <c r="C50" s="53" t="s">
        <v>173</v>
      </c>
      <c r="D50" s="44">
        <v>0</v>
      </c>
      <c r="E50" s="54">
        <v>45904</v>
      </c>
      <c r="F50" s="55">
        <v>700000</v>
      </c>
      <c r="G50" s="70">
        <v>700000</v>
      </c>
      <c r="H50" s="67"/>
      <c r="I50" s="67"/>
      <c r="J50" s="67"/>
      <c r="K50" s="67"/>
    </row>
    <row r="51" spans="2:11" x14ac:dyDescent="0.25">
      <c r="B51" s="68"/>
      <c r="C51" s="53" t="s">
        <v>141</v>
      </c>
      <c r="D51" s="44">
        <v>1000000</v>
      </c>
      <c r="E51" s="54">
        <v>45979</v>
      </c>
      <c r="F51" s="55">
        <v>2000000</v>
      </c>
      <c r="G51" s="67"/>
      <c r="H51" s="67"/>
      <c r="I51" s="67"/>
      <c r="J51" s="70">
        <v>1000000</v>
      </c>
      <c r="K51" s="70">
        <v>1000000</v>
      </c>
    </row>
    <row r="52" spans="2:11" x14ac:dyDescent="0.25">
      <c r="B52" s="68"/>
      <c r="C52" s="53" t="s">
        <v>133</v>
      </c>
      <c r="D52" s="44">
        <v>2000000</v>
      </c>
      <c r="E52" s="54">
        <v>45953</v>
      </c>
      <c r="F52" s="55">
        <v>4000000</v>
      </c>
      <c r="G52" s="67"/>
      <c r="H52" s="67"/>
      <c r="I52" s="70">
        <v>1000000</v>
      </c>
      <c r="J52" s="70">
        <v>1000000</v>
      </c>
      <c r="K52" s="70">
        <v>1000000</v>
      </c>
    </row>
    <row r="53" spans="2:11" x14ac:dyDescent="0.25">
      <c r="B53" s="51" t="s">
        <v>126</v>
      </c>
      <c r="C53" s="51"/>
      <c r="D53" s="51"/>
      <c r="E53" s="51"/>
      <c r="F53" s="51"/>
      <c r="G53" s="52">
        <v>700000</v>
      </c>
      <c r="H53" s="52">
        <v>3000000</v>
      </c>
      <c r="I53" s="52">
        <v>2000000</v>
      </c>
      <c r="J53" s="52">
        <v>3000000</v>
      </c>
      <c r="K53" s="52">
        <v>2000000</v>
      </c>
    </row>
    <row r="54" spans="2:11" x14ac:dyDescent="0.25">
      <c r="B54" s="68" t="s">
        <v>120</v>
      </c>
      <c r="C54" s="53" t="s">
        <v>169</v>
      </c>
      <c r="D54" s="44">
        <v>1250000</v>
      </c>
      <c r="E54" s="54">
        <v>45619</v>
      </c>
      <c r="F54" s="55">
        <v>11000000</v>
      </c>
      <c r="G54" s="70">
        <v>750000</v>
      </c>
      <c r="H54" s="70">
        <v>750000</v>
      </c>
      <c r="I54" s="70">
        <v>750000</v>
      </c>
      <c r="J54" s="70">
        <v>750000</v>
      </c>
      <c r="K54" s="70">
        <v>750000</v>
      </c>
    </row>
    <row r="55" spans="2:11" x14ac:dyDescent="0.25">
      <c r="B55" s="51" t="s">
        <v>130</v>
      </c>
      <c r="C55" s="51"/>
      <c r="D55" s="51"/>
      <c r="E55" s="51"/>
      <c r="F55" s="51"/>
      <c r="G55" s="52">
        <v>750000</v>
      </c>
      <c r="H55" s="52">
        <v>750000</v>
      </c>
      <c r="I55" s="52">
        <v>750000</v>
      </c>
      <c r="J55" s="52">
        <v>750000</v>
      </c>
      <c r="K55" s="52">
        <v>750000</v>
      </c>
    </row>
    <row r="56" spans="2:11" x14ac:dyDescent="0.25">
      <c r="B56" s="1" t="s">
        <v>205</v>
      </c>
      <c r="C56" s="1"/>
      <c r="D56" s="1"/>
      <c r="E56" s="1"/>
      <c r="F56" s="1"/>
      <c r="G56" s="70">
        <v>19866100</v>
      </c>
      <c r="H56" s="70">
        <v>27350000</v>
      </c>
      <c r="I56" s="70">
        <v>27825000</v>
      </c>
      <c r="J56" s="70">
        <v>24000000</v>
      </c>
      <c r="K56" s="70">
        <v>11500000</v>
      </c>
    </row>
    <row r="57" spans="2:11" x14ac:dyDescent="0.25">
      <c r="K57"/>
    </row>
    <row r="58" spans="2:11" x14ac:dyDescent="0.25">
      <c r="K58"/>
    </row>
    <row r="59" spans="2:11" x14ac:dyDescent="0.25">
      <c r="K59"/>
    </row>
    <row r="60" spans="2:11" x14ac:dyDescent="0.25">
      <c r="K60"/>
    </row>
    <row r="61" spans="2:11" x14ac:dyDescent="0.25">
      <c r="K61"/>
    </row>
    <row r="62" spans="2:11" x14ac:dyDescent="0.25">
      <c r="K62"/>
    </row>
    <row r="63" spans="2:11" x14ac:dyDescent="0.25">
      <c r="K63"/>
    </row>
    <row r="64" spans="2:11" x14ac:dyDescent="0.25">
      <c r="K64"/>
    </row>
    <row r="65" spans="1:11" x14ac:dyDescent="0.25">
      <c r="K65"/>
    </row>
    <row r="66" spans="1:11" x14ac:dyDescent="0.25">
      <c r="K66"/>
    </row>
    <row r="67" spans="1:11" x14ac:dyDescent="0.25">
      <c r="K67"/>
    </row>
    <row r="68" spans="1:11" x14ac:dyDescent="0.25">
      <c r="K68"/>
    </row>
    <row r="69" spans="1:11" x14ac:dyDescent="0.25">
      <c r="K69"/>
    </row>
    <row r="70" spans="1:11" x14ac:dyDescent="0.25">
      <c r="K70"/>
    </row>
    <row r="71" spans="1:11" x14ac:dyDescent="0.25">
      <c r="A71" s="1"/>
      <c r="K71"/>
    </row>
    <row r="72" spans="1:11" x14ac:dyDescent="0.25">
      <c r="A72" s="11"/>
      <c r="K72"/>
    </row>
    <row r="73" spans="1:11" x14ac:dyDescent="0.25">
      <c r="A73" s="11"/>
      <c r="K73"/>
    </row>
    <row r="74" spans="1:11" x14ac:dyDescent="0.25">
      <c r="A74" s="11"/>
      <c r="K74"/>
    </row>
    <row r="75" spans="1:11" x14ac:dyDescent="0.25">
      <c r="A75" s="11"/>
      <c r="K75"/>
    </row>
    <row r="76" spans="1:11" x14ac:dyDescent="0.25">
      <c r="A76" s="11"/>
      <c r="K76"/>
    </row>
    <row r="77" spans="1:11" x14ac:dyDescent="0.25">
      <c r="K77"/>
    </row>
    <row r="78" spans="1:11" x14ac:dyDescent="0.25">
      <c r="K78"/>
    </row>
    <row r="79" spans="1:11" x14ac:dyDescent="0.25">
      <c r="K79"/>
    </row>
    <row r="80" spans="1:11" x14ac:dyDescent="0.25">
      <c r="K80"/>
    </row>
    <row r="81" spans="11:11" x14ac:dyDescent="0.25">
      <c r="K81"/>
    </row>
    <row r="82" spans="11:11" x14ac:dyDescent="0.25">
      <c r="K82"/>
    </row>
    <row r="83" spans="11:11" x14ac:dyDescent="0.25">
      <c r="K83"/>
    </row>
    <row r="84" spans="11:11" x14ac:dyDescent="0.25">
      <c r="K84"/>
    </row>
    <row r="85" spans="11:11" x14ac:dyDescent="0.25">
      <c r="K85"/>
    </row>
    <row r="86" spans="11:11" x14ac:dyDescent="0.25">
      <c r="K86"/>
    </row>
    <row r="87" spans="11:11" x14ac:dyDescent="0.25">
      <c r="K87"/>
    </row>
    <row r="88" spans="11:11" x14ac:dyDescent="0.25">
      <c r="K88"/>
    </row>
    <row r="89" spans="11:11" x14ac:dyDescent="0.25">
      <c r="K89"/>
    </row>
    <row r="90" spans="11:11" x14ac:dyDescent="0.25">
      <c r="K90"/>
    </row>
    <row r="91" spans="11:11" x14ac:dyDescent="0.25">
      <c r="K91"/>
    </row>
    <row r="92" spans="11:11" x14ac:dyDescent="0.25">
      <c r="K92"/>
    </row>
    <row r="93" spans="11:11" x14ac:dyDescent="0.25">
      <c r="K93"/>
    </row>
    <row r="94" spans="11:11" x14ac:dyDescent="0.25">
      <c r="K94"/>
    </row>
    <row r="95" spans="11:11" x14ac:dyDescent="0.25">
      <c r="K95"/>
    </row>
    <row r="96" spans="11:11" x14ac:dyDescent="0.25">
      <c r="K96"/>
    </row>
    <row r="97" spans="11:11" x14ac:dyDescent="0.25">
      <c r="K9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88BB8-5A4E-41C3-989C-09FF14707C81}">
  <dimension ref="A1:Q75"/>
  <sheetViews>
    <sheetView showGridLines="0" topLeftCell="C1" zoomScale="85" zoomScaleNormal="85" workbookViewId="0">
      <selection activeCell="P4" sqref="P4"/>
    </sheetView>
  </sheetViews>
  <sheetFormatPr defaultRowHeight="15" x14ac:dyDescent="0.25"/>
  <cols>
    <col min="1" max="2" width="15.140625" bestFit="1" customWidth="1"/>
    <col min="3" max="3" width="14.140625" bestFit="1" customWidth="1"/>
    <col min="4" max="4" width="13.140625" bestFit="1" customWidth="1"/>
    <col min="5" max="5" width="17.85546875" bestFit="1" customWidth="1"/>
    <col min="6" max="6" width="18.28515625" customWidth="1"/>
    <col min="7" max="7" width="13.85546875" bestFit="1" customWidth="1"/>
    <col min="8" max="8" width="16.42578125" bestFit="1" customWidth="1"/>
    <col min="9" max="9" width="22.140625" bestFit="1" customWidth="1"/>
    <col min="10" max="10" width="14.85546875" customWidth="1"/>
    <col min="11" max="11" width="16.140625" customWidth="1"/>
  </cols>
  <sheetData>
    <row r="1" spans="1:17" x14ac:dyDescent="0.25">
      <c r="A1" t="s">
        <v>70</v>
      </c>
      <c r="B1" t="s">
        <v>94</v>
      </c>
      <c r="C1" t="s">
        <v>95</v>
      </c>
      <c r="E1" s="58" t="s">
        <v>194</v>
      </c>
      <c r="F1" t="s">
        <v>196</v>
      </c>
      <c r="I1" s="58" t="s">
        <v>193</v>
      </c>
      <c r="J1" s="58" t="s">
        <v>195</v>
      </c>
    </row>
    <row r="2" spans="1:17" x14ac:dyDescent="0.25">
      <c r="A2" s="57">
        <v>224296630</v>
      </c>
      <c r="B2" s="57">
        <v>200296630</v>
      </c>
      <c r="C2" s="57">
        <v>24000000</v>
      </c>
      <c r="E2" s="59" t="s">
        <v>163</v>
      </c>
      <c r="F2" s="41">
        <v>7000000</v>
      </c>
      <c r="I2" s="58" t="s">
        <v>194</v>
      </c>
      <c r="J2" s="60" t="s">
        <v>118</v>
      </c>
      <c r="K2" s="60" t="s">
        <v>117</v>
      </c>
      <c r="L2" s="60" t="s">
        <v>119</v>
      </c>
      <c r="M2" s="60" t="s">
        <v>68</v>
      </c>
      <c r="N2" s="60" t="s">
        <v>145</v>
      </c>
      <c r="O2" s="60" t="s">
        <v>147</v>
      </c>
      <c r="P2" s="60" t="s">
        <v>148</v>
      </c>
      <c r="Q2" s="60" t="s">
        <v>120</v>
      </c>
    </row>
    <row r="3" spans="1:17" x14ac:dyDescent="0.25">
      <c r="A3" t="str">
        <f>TEXT(A2,"Rp #.##0")</f>
        <v>Rp 224.296.630</v>
      </c>
      <c r="B3" t="str">
        <f t="shared" ref="B3:C3" si="0">TEXT(B2,"Rp #.##0")</f>
        <v>Rp 200.296.630</v>
      </c>
      <c r="C3" t="str">
        <f t="shared" si="0"/>
        <v>Rp 24.000.000</v>
      </c>
      <c r="E3" s="59" t="s">
        <v>170</v>
      </c>
      <c r="F3" s="41">
        <v>7000000</v>
      </c>
      <c r="I3" s="59" t="s">
        <v>211</v>
      </c>
      <c r="J3" s="41">
        <v>1670246</v>
      </c>
      <c r="K3" s="41">
        <v>3000000</v>
      </c>
      <c r="L3" s="41"/>
      <c r="M3" s="41"/>
      <c r="N3" s="41">
        <v>3000000</v>
      </c>
      <c r="O3" s="41">
        <v>1500000</v>
      </c>
      <c r="P3" s="41"/>
      <c r="Q3" s="41"/>
    </row>
    <row r="4" spans="1:17" x14ac:dyDescent="0.25">
      <c r="E4" s="59" t="s">
        <v>178</v>
      </c>
      <c r="F4" s="41">
        <v>8000000</v>
      </c>
      <c r="I4" s="59" t="s">
        <v>212</v>
      </c>
      <c r="J4" s="41"/>
      <c r="K4" s="41"/>
      <c r="L4" s="41"/>
      <c r="M4" s="41"/>
      <c r="N4" s="41">
        <v>8066100</v>
      </c>
      <c r="O4" s="41">
        <v>2000000</v>
      </c>
      <c r="P4" s="41">
        <v>875000</v>
      </c>
      <c r="Q4" s="41"/>
    </row>
    <row r="5" spans="1:17" x14ac:dyDescent="0.25">
      <c r="E5" s="59" t="s">
        <v>153</v>
      </c>
      <c r="F5" s="41">
        <v>8000000</v>
      </c>
      <c r="I5" s="59" t="s">
        <v>213</v>
      </c>
      <c r="J5" s="41">
        <v>2000000</v>
      </c>
      <c r="K5" s="41"/>
      <c r="L5" s="41"/>
      <c r="M5" s="41">
        <v>3000000</v>
      </c>
      <c r="N5" s="41">
        <v>3000000</v>
      </c>
      <c r="O5" s="41">
        <v>500000</v>
      </c>
      <c r="P5" s="41"/>
      <c r="Q5" s="41"/>
    </row>
    <row r="6" spans="1:17" x14ac:dyDescent="0.25">
      <c r="A6" s="58" t="s">
        <v>194</v>
      </c>
      <c r="B6" t="s">
        <v>193</v>
      </c>
      <c r="E6" s="59" t="s">
        <v>26</v>
      </c>
      <c r="F6" s="41">
        <v>9500000</v>
      </c>
      <c r="I6" s="59" t="s">
        <v>214</v>
      </c>
      <c r="J6" s="41">
        <v>1500000</v>
      </c>
      <c r="K6" s="41"/>
      <c r="L6" s="41"/>
      <c r="M6" s="41"/>
      <c r="N6" s="41">
        <v>2000000</v>
      </c>
      <c r="O6" s="41">
        <v>3000000</v>
      </c>
      <c r="P6" s="41"/>
      <c r="Q6" s="41"/>
    </row>
    <row r="7" spans="1:17" x14ac:dyDescent="0.25">
      <c r="A7" s="59" t="s">
        <v>118</v>
      </c>
      <c r="B7" s="57">
        <v>18716530</v>
      </c>
      <c r="E7" s="59" t="s">
        <v>176</v>
      </c>
      <c r="F7" s="41">
        <v>10000000</v>
      </c>
      <c r="I7" s="59" t="s">
        <v>215</v>
      </c>
      <c r="J7" s="41">
        <v>1846284</v>
      </c>
      <c r="K7" s="41">
        <v>2605000</v>
      </c>
      <c r="L7" s="41"/>
      <c r="M7" s="41"/>
      <c r="N7" s="41">
        <v>11500000</v>
      </c>
      <c r="O7" s="41">
        <v>7500000</v>
      </c>
      <c r="P7" s="41"/>
      <c r="Q7" s="41"/>
    </row>
    <row r="8" spans="1:17" x14ac:dyDescent="0.25">
      <c r="A8" s="59" t="s">
        <v>117</v>
      </c>
      <c r="B8" s="57">
        <v>29939000</v>
      </c>
      <c r="E8" s="59" t="s">
        <v>169</v>
      </c>
      <c r="F8" s="41">
        <v>11000000</v>
      </c>
      <c r="I8" s="59" t="s">
        <v>216</v>
      </c>
      <c r="J8" s="41"/>
      <c r="K8" s="41">
        <v>2000000</v>
      </c>
      <c r="L8" s="41">
        <v>1000000</v>
      </c>
      <c r="M8" s="41"/>
      <c r="N8" s="41">
        <v>5000000</v>
      </c>
      <c r="O8" s="41">
        <v>7200000</v>
      </c>
      <c r="P8" s="41"/>
      <c r="Q8" s="41"/>
    </row>
    <row r="9" spans="1:17" x14ac:dyDescent="0.25">
      <c r="A9" s="59" t="s">
        <v>119</v>
      </c>
      <c r="B9" s="57">
        <v>24000000</v>
      </c>
      <c r="E9" s="59" t="s">
        <v>156</v>
      </c>
      <c r="F9" s="41">
        <v>11605000</v>
      </c>
      <c r="I9" s="59" t="s">
        <v>217</v>
      </c>
      <c r="J9" s="41"/>
      <c r="K9" s="41">
        <v>5000000</v>
      </c>
      <c r="L9" s="41">
        <v>3500000</v>
      </c>
      <c r="M9" s="41"/>
      <c r="N9" s="41"/>
      <c r="O9" s="41">
        <v>3000000</v>
      </c>
      <c r="P9" s="41"/>
      <c r="Q9" s="41"/>
    </row>
    <row r="10" spans="1:17" x14ac:dyDescent="0.25">
      <c r="A10" s="59" t="s">
        <v>68</v>
      </c>
      <c r="B10" s="57">
        <v>15000000</v>
      </c>
      <c r="E10" s="59" t="s">
        <v>154</v>
      </c>
      <c r="F10" s="41">
        <v>13334000</v>
      </c>
      <c r="I10" s="59" t="s">
        <v>198</v>
      </c>
      <c r="J10" s="41"/>
      <c r="K10" s="41">
        <v>5000000</v>
      </c>
      <c r="L10" s="41">
        <v>2000000</v>
      </c>
      <c r="M10" s="41">
        <v>7000000</v>
      </c>
      <c r="N10" s="41">
        <v>6000000</v>
      </c>
      <c r="O10" s="41">
        <v>5000000</v>
      </c>
      <c r="P10" s="41"/>
      <c r="Q10" s="41"/>
    </row>
    <row r="11" spans="1:17" x14ac:dyDescent="0.25">
      <c r="A11" s="59" t="s">
        <v>145</v>
      </c>
      <c r="B11" s="57">
        <v>76566100</v>
      </c>
      <c r="E11" s="59" t="s">
        <v>157</v>
      </c>
      <c r="F11" s="41">
        <v>17500000</v>
      </c>
      <c r="I11" s="59" t="s">
        <v>207</v>
      </c>
      <c r="J11" s="41">
        <v>5700000</v>
      </c>
      <c r="K11" s="41"/>
      <c r="L11" s="41">
        <v>6500000</v>
      </c>
      <c r="M11" s="41">
        <v>3000000</v>
      </c>
      <c r="N11" s="41">
        <v>25000000</v>
      </c>
      <c r="O11" s="41">
        <v>13500000</v>
      </c>
      <c r="P11" s="41">
        <v>3000000</v>
      </c>
      <c r="Q11" s="41"/>
    </row>
    <row r="12" spans="1:17" x14ac:dyDescent="0.25">
      <c r="A12" s="59" t="s">
        <v>147</v>
      </c>
      <c r="B12" s="57">
        <v>45200000</v>
      </c>
      <c r="E12" s="59" t="s">
        <v>184</v>
      </c>
      <c r="F12" s="41">
        <v>20000000</v>
      </c>
      <c r="I12" s="59" t="s">
        <v>208</v>
      </c>
      <c r="J12" s="41">
        <v>4000000</v>
      </c>
      <c r="K12" s="41">
        <v>9000000</v>
      </c>
      <c r="L12" s="41">
        <v>5000000</v>
      </c>
      <c r="M12" s="41"/>
      <c r="N12" s="41">
        <v>3000000</v>
      </c>
      <c r="O12" s="41">
        <v>1000000</v>
      </c>
      <c r="P12" s="41"/>
      <c r="Q12" s="41"/>
    </row>
    <row r="13" spans="1:17" x14ac:dyDescent="0.25">
      <c r="A13" s="59" t="s">
        <v>148</v>
      </c>
      <c r="B13" s="57">
        <v>3875000</v>
      </c>
      <c r="I13" s="59" t="s">
        <v>209</v>
      </c>
      <c r="J13" s="41">
        <v>2000000</v>
      </c>
      <c r="K13" s="41"/>
      <c r="L13" s="41">
        <v>3000000</v>
      </c>
      <c r="M13" s="41">
        <v>2000000</v>
      </c>
      <c r="N13" s="41">
        <v>6000000</v>
      </c>
      <c r="O13" s="41"/>
      <c r="P13" s="41"/>
      <c r="Q13" s="41">
        <v>11000000</v>
      </c>
    </row>
    <row r="14" spans="1:17" x14ac:dyDescent="0.25">
      <c r="A14" s="59" t="s">
        <v>120</v>
      </c>
      <c r="B14" s="57">
        <v>11000000</v>
      </c>
      <c r="I14" s="59" t="s">
        <v>210</v>
      </c>
      <c r="J14" s="41"/>
      <c r="K14" s="41">
        <v>3334000</v>
      </c>
      <c r="L14" s="41">
        <v>3000000</v>
      </c>
      <c r="M14" s="41"/>
      <c r="N14" s="41">
        <v>4000000</v>
      </c>
      <c r="O14" s="41">
        <v>1000000</v>
      </c>
      <c r="P14" s="41"/>
      <c r="Q14" s="41"/>
    </row>
    <row r="24" spans="1:11" ht="5.25" customHeight="1" x14ac:dyDescent="0.25"/>
    <row r="25" spans="1:11" ht="20.25" customHeight="1" x14ac:dyDescent="0.25">
      <c r="A25" s="58" t="s">
        <v>197</v>
      </c>
      <c r="B25" s="58" t="s">
        <v>20</v>
      </c>
      <c r="C25" t="s">
        <v>70</v>
      </c>
      <c r="E25" s="62" t="s">
        <v>20</v>
      </c>
      <c r="F25" s="62" t="s">
        <v>70</v>
      </c>
      <c r="J25" s="58" t="s">
        <v>194</v>
      </c>
      <c r="K25" t="s">
        <v>196</v>
      </c>
    </row>
    <row r="26" spans="1:11" ht="20.25" customHeight="1" x14ac:dyDescent="0.25">
      <c r="A26" t="s">
        <v>211</v>
      </c>
      <c r="B26" t="s">
        <v>118</v>
      </c>
      <c r="C26" s="57">
        <v>1670246</v>
      </c>
      <c r="E26" s="65" t="str">
        <f>B26</f>
        <v>SSL</v>
      </c>
      <c r="F26" s="66">
        <f>C26</f>
        <v>1670246</v>
      </c>
      <c r="J26" s="59" t="s">
        <v>186</v>
      </c>
      <c r="K26" s="41">
        <v>30400100</v>
      </c>
    </row>
    <row r="27" spans="1:11" ht="20.25" customHeight="1" x14ac:dyDescent="0.25">
      <c r="B27" t="s">
        <v>117</v>
      </c>
      <c r="C27" s="57">
        <v>3000000</v>
      </c>
      <c r="E27" s="65" t="str">
        <f t="shared" ref="E27:E29" si="1">B27</f>
        <v>PPA</v>
      </c>
      <c r="F27" s="66">
        <f>C27</f>
        <v>3000000</v>
      </c>
      <c r="J27" s="59" t="s">
        <v>187</v>
      </c>
      <c r="K27" s="41">
        <v>154070246</v>
      </c>
    </row>
    <row r="28" spans="1:11" ht="20.25" customHeight="1" x14ac:dyDescent="0.25">
      <c r="B28" t="s">
        <v>145</v>
      </c>
      <c r="C28" s="57">
        <v>3000000</v>
      </c>
      <c r="E28" s="65" t="str">
        <f t="shared" si="1"/>
        <v>Payroll_SMB</v>
      </c>
      <c r="F28" s="66">
        <f>C28</f>
        <v>3000000</v>
      </c>
      <c r="J28" s="59" t="s">
        <v>188</v>
      </c>
      <c r="K28" s="41">
        <v>12375000</v>
      </c>
    </row>
    <row r="29" spans="1:11" ht="20.25" customHeight="1" x14ac:dyDescent="0.25">
      <c r="B29" t="s">
        <v>147</v>
      </c>
      <c r="C29" s="57">
        <v>1500000</v>
      </c>
      <c r="E29" s="65" t="str">
        <f t="shared" si="1"/>
        <v>RO_SMB</v>
      </c>
      <c r="F29" s="66">
        <f>C29</f>
        <v>1500000</v>
      </c>
      <c r="J29" s="59" t="s">
        <v>189</v>
      </c>
      <c r="K29" s="41">
        <v>27451284</v>
      </c>
    </row>
    <row r="30" spans="1:11" x14ac:dyDescent="0.25">
      <c r="A30" t="s">
        <v>212</v>
      </c>
      <c r="B30" t="s">
        <v>145</v>
      </c>
      <c r="C30" s="57">
        <v>8066100</v>
      </c>
      <c r="F30" s="57"/>
    </row>
    <row r="31" spans="1:11" x14ac:dyDescent="0.25">
      <c r="B31" t="s">
        <v>147</v>
      </c>
      <c r="C31" s="57">
        <v>2000000</v>
      </c>
    </row>
    <row r="32" spans="1:11" x14ac:dyDescent="0.25">
      <c r="B32" t="s">
        <v>148</v>
      </c>
      <c r="C32" s="57">
        <v>875000</v>
      </c>
    </row>
    <row r="33" spans="1:3" x14ac:dyDescent="0.25">
      <c r="A33" t="s">
        <v>213</v>
      </c>
      <c r="B33" t="s">
        <v>118</v>
      </c>
      <c r="C33" s="57">
        <v>2000000</v>
      </c>
    </row>
    <row r="34" spans="1:3" x14ac:dyDescent="0.25">
      <c r="B34" t="s">
        <v>68</v>
      </c>
      <c r="C34" s="57">
        <v>3000000</v>
      </c>
    </row>
    <row r="35" spans="1:3" x14ac:dyDescent="0.25">
      <c r="B35" t="s">
        <v>145</v>
      </c>
      <c r="C35" s="57">
        <v>3000000</v>
      </c>
    </row>
    <row r="36" spans="1:3" x14ac:dyDescent="0.25">
      <c r="B36" t="s">
        <v>147</v>
      </c>
      <c r="C36" s="57">
        <v>500000</v>
      </c>
    </row>
    <row r="37" spans="1:3" x14ac:dyDescent="0.25">
      <c r="A37" t="s">
        <v>214</v>
      </c>
      <c r="B37" t="s">
        <v>118</v>
      </c>
      <c r="C37" s="57">
        <v>1500000</v>
      </c>
    </row>
    <row r="38" spans="1:3" x14ac:dyDescent="0.25">
      <c r="B38" t="s">
        <v>145</v>
      </c>
      <c r="C38" s="57">
        <v>2000000</v>
      </c>
    </row>
    <row r="39" spans="1:3" x14ac:dyDescent="0.25">
      <c r="B39" t="s">
        <v>147</v>
      </c>
      <c r="C39" s="57">
        <v>3000000</v>
      </c>
    </row>
    <row r="40" spans="1:3" x14ac:dyDescent="0.25">
      <c r="A40" t="s">
        <v>215</v>
      </c>
      <c r="B40" t="s">
        <v>118</v>
      </c>
      <c r="C40" s="57">
        <v>1846284</v>
      </c>
    </row>
    <row r="41" spans="1:3" x14ac:dyDescent="0.25">
      <c r="B41" t="s">
        <v>117</v>
      </c>
      <c r="C41" s="57">
        <v>2605000</v>
      </c>
    </row>
    <row r="42" spans="1:3" x14ac:dyDescent="0.25">
      <c r="B42" t="s">
        <v>145</v>
      </c>
      <c r="C42" s="57">
        <v>11500000</v>
      </c>
    </row>
    <row r="43" spans="1:3" x14ac:dyDescent="0.25">
      <c r="B43" t="s">
        <v>147</v>
      </c>
      <c r="C43" s="57">
        <v>7500000</v>
      </c>
    </row>
    <row r="44" spans="1:3" x14ac:dyDescent="0.25">
      <c r="A44" t="s">
        <v>216</v>
      </c>
      <c r="B44" t="s">
        <v>117</v>
      </c>
      <c r="C44" s="57">
        <v>2000000</v>
      </c>
    </row>
    <row r="45" spans="1:3" x14ac:dyDescent="0.25">
      <c r="B45" t="s">
        <v>119</v>
      </c>
      <c r="C45" s="57">
        <v>1000000</v>
      </c>
    </row>
    <row r="46" spans="1:3" x14ac:dyDescent="0.25">
      <c r="B46" t="s">
        <v>145</v>
      </c>
      <c r="C46" s="57">
        <v>5000000</v>
      </c>
    </row>
    <row r="47" spans="1:3" x14ac:dyDescent="0.25">
      <c r="B47" t="s">
        <v>147</v>
      </c>
      <c r="C47" s="57">
        <v>7200000</v>
      </c>
    </row>
    <row r="48" spans="1:3" x14ac:dyDescent="0.25">
      <c r="A48" t="s">
        <v>217</v>
      </c>
      <c r="B48" t="s">
        <v>117</v>
      </c>
      <c r="C48" s="57">
        <v>5000000</v>
      </c>
    </row>
    <row r="49" spans="1:3" x14ac:dyDescent="0.25">
      <c r="B49" t="s">
        <v>119</v>
      </c>
      <c r="C49" s="57">
        <v>3500000</v>
      </c>
    </row>
    <row r="50" spans="1:3" x14ac:dyDescent="0.25">
      <c r="B50" t="s">
        <v>147</v>
      </c>
      <c r="C50" s="57">
        <v>3000000</v>
      </c>
    </row>
    <row r="51" spans="1:3" x14ac:dyDescent="0.25">
      <c r="A51" t="s">
        <v>198</v>
      </c>
      <c r="B51" t="s">
        <v>117</v>
      </c>
      <c r="C51" s="57">
        <v>5000000</v>
      </c>
    </row>
    <row r="52" spans="1:3" x14ac:dyDescent="0.25">
      <c r="B52" t="s">
        <v>119</v>
      </c>
      <c r="C52" s="57">
        <v>2000000</v>
      </c>
    </row>
    <row r="53" spans="1:3" x14ac:dyDescent="0.25">
      <c r="B53" t="s">
        <v>68</v>
      </c>
      <c r="C53" s="57">
        <v>7000000</v>
      </c>
    </row>
    <row r="54" spans="1:3" x14ac:dyDescent="0.25">
      <c r="B54" t="s">
        <v>145</v>
      </c>
      <c r="C54" s="57">
        <v>6000000</v>
      </c>
    </row>
    <row r="55" spans="1:3" x14ac:dyDescent="0.25">
      <c r="B55" t="s">
        <v>147</v>
      </c>
      <c r="C55" s="57">
        <v>5000000</v>
      </c>
    </row>
    <row r="56" spans="1:3" x14ac:dyDescent="0.25">
      <c r="A56" t="s">
        <v>207</v>
      </c>
      <c r="B56" t="s">
        <v>118</v>
      </c>
      <c r="C56" s="57">
        <v>5700000</v>
      </c>
    </row>
    <row r="57" spans="1:3" x14ac:dyDescent="0.25">
      <c r="B57" t="s">
        <v>119</v>
      </c>
      <c r="C57" s="57">
        <v>6500000</v>
      </c>
    </row>
    <row r="58" spans="1:3" x14ac:dyDescent="0.25">
      <c r="B58" t="s">
        <v>68</v>
      </c>
      <c r="C58" s="57">
        <v>3000000</v>
      </c>
    </row>
    <row r="59" spans="1:3" x14ac:dyDescent="0.25">
      <c r="B59" t="s">
        <v>145</v>
      </c>
      <c r="C59" s="57">
        <v>25000000</v>
      </c>
    </row>
    <row r="60" spans="1:3" x14ac:dyDescent="0.25">
      <c r="B60" t="s">
        <v>147</v>
      </c>
      <c r="C60" s="57">
        <v>13500000</v>
      </c>
    </row>
    <row r="61" spans="1:3" x14ac:dyDescent="0.25">
      <c r="B61" t="s">
        <v>148</v>
      </c>
      <c r="C61" s="57">
        <v>3000000</v>
      </c>
    </row>
    <row r="62" spans="1:3" x14ac:dyDescent="0.25">
      <c r="A62" t="s">
        <v>208</v>
      </c>
      <c r="B62" t="s">
        <v>118</v>
      </c>
      <c r="C62" s="57">
        <v>4000000</v>
      </c>
    </row>
    <row r="63" spans="1:3" x14ac:dyDescent="0.25">
      <c r="B63" t="s">
        <v>117</v>
      </c>
      <c r="C63" s="57">
        <v>9000000</v>
      </c>
    </row>
    <row r="64" spans="1:3" x14ac:dyDescent="0.25">
      <c r="B64" t="s">
        <v>119</v>
      </c>
      <c r="C64" s="57">
        <v>5000000</v>
      </c>
    </row>
    <row r="65" spans="1:3" x14ac:dyDescent="0.25">
      <c r="B65" t="s">
        <v>145</v>
      </c>
      <c r="C65" s="57">
        <v>3000000</v>
      </c>
    </row>
    <row r="66" spans="1:3" x14ac:dyDescent="0.25">
      <c r="B66" t="s">
        <v>147</v>
      </c>
      <c r="C66" s="57">
        <v>1000000</v>
      </c>
    </row>
    <row r="67" spans="1:3" x14ac:dyDescent="0.25">
      <c r="A67" t="s">
        <v>209</v>
      </c>
      <c r="B67" t="s">
        <v>118</v>
      </c>
      <c r="C67" s="57">
        <v>2000000</v>
      </c>
    </row>
    <row r="68" spans="1:3" x14ac:dyDescent="0.25">
      <c r="B68" t="s">
        <v>119</v>
      </c>
      <c r="C68" s="57">
        <v>3000000</v>
      </c>
    </row>
    <row r="69" spans="1:3" x14ac:dyDescent="0.25">
      <c r="B69" t="s">
        <v>68</v>
      </c>
      <c r="C69" s="57">
        <v>2000000</v>
      </c>
    </row>
    <row r="70" spans="1:3" x14ac:dyDescent="0.25">
      <c r="B70" t="s">
        <v>145</v>
      </c>
      <c r="C70" s="57">
        <v>6000000</v>
      </c>
    </row>
    <row r="71" spans="1:3" x14ac:dyDescent="0.25">
      <c r="B71" t="s">
        <v>120</v>
      </c>
      <c r="C71" s="57">
        <v>11000000</v>
      </c>
    </row>
    <row r="72" spans="1:3" x14ac:dyDescent="0.25">
      <c r="A72" t="s">
        <v>210</v>
      </c>
      <c r="B72" t="s">
        <v>117</v>
      </c>
      <c r="C72" s="57">
        <v>3334000</v>
      </c>
    </row>
    <row r="73" spans="1:3" x14ac:dyDescent="0.25">
      <c r="B73" t="s">
        <v>119</v>
      </c>
      <c r="C73" s="57">
        <v>3000000</v>
      </c>
    </row>
    <row r="74" spans="1:3" x14ac:dyDescent="0.25">
      <c r="B74" t="s">
        <v>145</v>
      </c>
      <c r="C74" s="57">
        <v>4000000</v>
      </c>
    </row>
    <row r="75" spans="1:3" x14ac:dyDescent="0.25">
      <c r="B75" t="s">
        <v>147</v>
      </c>
      <c r="C75" s="57">
        <v>1000000</v>
      </c>
    </row>
  </sheetData>
  <conditionalFormatting sqref="F26:F32">
    <cfRule type="dataBar" priority="1">
      <dataBar>
        <cfvo type="min"/>
        <cfvo type="max"/>
        <color theme="2" tint="-0.499984740745262"/>
      </dataBar>
      <extLst>
        <ext xmlns:x14="http://schemas.microsoft.com/office/spreadsheetml/2009/9/main" uri="{B025F937-C7B1-47D3-B67F-A62EFF666E3E}">
          <x14:id>{DA503666-DE8B-4760-B6BE-9478F8C3D675}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503666-DE8B-4760-B6BE-9478F8C3D675}">
            <x14:dataBar minLength="0" maxLength="100" gradient="0">
              <x14:cfvo type="autoMin"/>
              <x14:cfvo type="autoMax"/>
              <x14:negativeFillColor rgb="FFFF0000"/>
              <x14:axisColor rgb="FF000000"/>
            </x14:dataBar>
          </x14:cfRule>
          <xm:sqref>F26:F32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87"/>
  <sheetViews>
    <sheetView showGridLines="0" zoomScale="85" zoomScaleNormal="85" workbookViewId="0">
      <pane ySplit="3" topLeftCell="A4" activePane="bottomLeft" state="frozen"/>
      <selection pane="bottomLeft" activeCell="M2" sqref="M2"/>
    </sheetView>
  </sheetViews>
  <sheetFormatPr defaultRowHeight="15" x14ac:dyDescent="0.25"/>
  <cols>
    <col min="1" max="1" width="4" customWidth="1"/>
    <col min="2" max="2" width="6.85546875" customWidth="1"/>
    <col min="3" max="3" width="22.7109375" bestFit="1" customWidth="1"/>
    <col min="4" max="4" width="12.5703125" customWidth="1"/>
    <col min="5" max="5" width="11.85546875" style="32" customWidth="1"/>
    <col min="6" max="6" width="14.140625" style="27" customWidth="1"/>
    <col min="7" max="8" width="12.7109375" customWidth="1"/>
    <col min="9" max="9" width="11.140625" customWidth="1"/>
    <col min="10" max="10" width="7" customWidth="1"/>
    <col min="11" max="11" width="10.5703125" style="2" customWidth="1"/>
    <col min="12" max="12" width="13.85546875" style="27" customWidth="1"/>
    <col min="13" max="13" width="13" customWidth="1"/>
    <col min="14" max="14" width="6.28515625" customWidth="1"/>
    <col min="15" max="15" width="7.5703125" customWidth="1"/>
    <col min="17" max="17" width="13.42578125" bestFit="1" customWidth="1"/>
    <col min="18" max="18" width="23" bestFit="1" customWidth="1"/>
    <col min="19" max="19" width="14.85546875" bestFit="1" customWidth="1"/>
    <col min="20" max="20" width="17.28515625" bestFit="1" customWidth="1"/>
  </cols>
  <sheetData>
    <row r="1" spans="2:14" s="12" customFormat="1" ht="24" customHeight="1" x14ac:dyDescent="0.25">
      <c r="B1" s="12" t="s">
        <v>74</v>
      </c>
      <c r="C1" s="13" t="s">
        <v>75</v>
      </c>
      <c r="E1" s="28"/>
      <c r="F1" s="35"/>
      <c r="H1" s="14"/>
      <c r="K1" s="35"/>
      <c r="L1" s="50" cm="1">
        <f t="array" ref="L1">MAX(VALUE(RIGHT(Pinjaman[ID],LEN(Pinjaman[ID])-1)))</f>
        <v>84</v>
      </c>
      <c r="N1" s="12" t="s">
        <v>131</v>
      </c>
    </row>
    <row r="2" spans="2:14" s="12" customFormat="1" ht="34.5" customHeight="1" x14ac:dyDescent="0.25">
      <c r="B2" s="15" t="s">
        <v>9</v>
      </c>
      <c r="C2" s="15" t="s">
        <v>218</v>
      </c>
      <c r="D2" s="15" t="s">
        <v>200</v>
      </c>
      <c r="E2" s="29" t="s">
        <v>87</v>
      </c>
      <c r="F2" s="36" t="s">
        <v>219</v>
      </c>
      <c r="G2" s="15" t="s">
        <v>57</v>
      </c>
      <c r="H2" s="15" t="s">
        <v>38</v>
      </c>
      <c r="I2" s="15" t="s">
        <v>58</v>
      </c>
      <c r="J2" s="42"/>
      <c r="K2" s="43" t="s">
        <v>206</v>
      </c>
      <c r="L2" s="16" t="s">
        <v>220</v>
      </c>
      <c r="M2" s="15" t="s">
        <v>199</v>
      </c>
    </row>
    <row r="3" spans="2:14" ht="9.75" customHeight="1" x14ac:dyDescent="0.25">
      <c r="B3" s="17" t="s">
        <v>9</v>
      </c>
      <c r="C3" s="17" t="s">
        <v>0</v>
      </c>
      <c r="D3" s="17" t="s">
        <v>59</v>
      </c>
      <c r="E3" s="30" t="s">
        <v>87</v>
      </c>
      <c r="F3" s="37" t="s">
        <v>1</v>
      </c>
      <c r="G3" s="17" t="s">
        <v>57</v>
      </c>
      <c r="H3" s="17" t="s">
        <v>38</v>
      </c>
      <c r="I3" s="17" t="s">
        <v>58</v>
      </c>
      <c r="J3" s="17" t="s">
        <v>78</v>
      </c>
      <c r="K3" s="37" t="s">
        <v>2</v>
      </c>
      <c r="L3" s="18" t="s">
        <v>4</v>
      </c>
      <c r="M3" s="17" t="s">
        <v>20</v>
      </c>
    </row>
    <row r="4" spans="2:14" x14ac:dyDescent="0.25">
      <c r="B4" s="1" t="s">
        <v>5</v>
      </c>
      <c r="C4" s="1" t="s">
        <v>151</v>
      </c>
      <c r="D4" s="3">
        <v>45660</v>
      </c>
      <c r="E4" s="31" t="str">
        <f>TEXT(Pinjaman[[#This Row],[Tanggal Pinjaman]],"yyy-mm")</f>
        <v>2025-01</v>
      </c>
      <c r="F4" s="38">
        <v>3000000</v>
      </c>
      <c r="G4" s="5">
        <f>IFERROR(IF(B4="","",SUMIFS(Cicilan[Jumlah Cicilan],Cicilan[ID],B4,Cicilan[Status],"Clear")),"")</f>
        <v>3000000</v>
      </c>
      <c r="H4" s="4" t="str">
        <f t="shared" ref="H4:H35" si="0">IF(B4="","",IF(I4=0,"Lunas","Belum Lunas"))</f>
        <v>Lunas</v>
      </c>
      <c r="I4" s="5">
        <f t="shared" ref="I4:I35" si="1">F4-G4</f>
        <v>0</v>
      </c>
      <c r="J4" s="22"/>
      <c r="K4" s="38">
        <v>750000</v>
      </c>
      <c r="L4" s="1" t="s">
        <v>186</v>
      </c>
      <c r="M4" s="1" t="s">
        <v>145</v>
      </c>
    </row>
    <row r="5" spans="2:14" x14ac:dyDescent="0.25">
      <c r="B5" s="1" t="s">
        <v>6</v>
      </c>
      <c r="C5" s="1" t="s">
        <v>151</v>
      </c>
      <c r="D5" s="3">
        <v>45701</v>
      </c>
      <c r="E5" s="31" t="str">
        <f>TEXT(Pinjaman[[#This Row],[Tanggal Pinjaman]],"yyy-mm")</f>
        <v>2025-02</v>
      </c>
      <c r="F5" s="38">
        <v>3566100</v>
      </c>
      <c r="G5" s="5">
        <f>IFERROR(IF(B5="","",SUMIFS(Cicilan[Jumlah Cicilan],Cicilan[ID],B5,Cicilan[Status],"Clear")),"")</f>
        <v>3566100</v>
      </c>
      <c r="H5" s="4" t="str">
        <f t="shared" si="0"/>
        <v>Lunas</v>
      </c>
      <c r="I5" s="5">
        <f t="shared" si="1"/>
        <v>0</v>
      </c>
      <c r="J5" s="19">
        <v>1</v>
      </c>
      <c r="K5" s="38">
        <v>750000</v>
      </c>
      <c r="L5" s="1" t="s">
        <v>186</v>
      </c>
      <c r="M5" s="1" t="s">
        <v>145</v>
      </c>
    </row>
    <row r="6" spans="2:14" x14ac:dyDescent="0.25">
      <c r="B6" s="1" t="s">
        <v>7</v>
      </c>
      <c r="C6" s="1" t="s">
        <v>152</v>
      </c>
      <c r="D6" s="3">
        <v>45688</v>
      </c>
      <c r="E6" s="31" t="str">
        <f>TEXT(Pinjaman[[#This Row],[Tanggal Pinjaman]],"yyy-mm")</f>
        <v>2025-01</v>
      </c>
      <c r="F6" s="38">
        <v>1500000</v>
      </c>
      <c r="G6" s="5">
        <f>IFERROR(IF(B6="","",SUMIFS(Cicilan[Jumlah Cicilan],Cicilan[ID],B6,Cicilan[Status],"Clear")),"")</f>
        <v>1500000</v>
      </c>
      <c r="H6" s="4" t="str">
        <f t="shared" si="0"/>
        <v>Lunas</v>
      </c>
      <c r="I6" s="5">
        <f t="shared" si="1"/>
        <v>0</v>
      </c>
      <c r="J6" s="22"/>
      <c r="K6" s="38">
        <v>500000</v>
      </c>
      <c r="L6" s="1" t="s">
        <v>186</v>
      </c>
      <c r="M6" s="1" t="s">
        <v>147</v>
      </c>
    </row>
    <row r="7" spans="2:14" x14ac:dyDescent="0.25">
      <c r="B7" s="1" t="s">
        <v>8</v>
      </c>
      <c r="C7" s="1" t="s">
        <v>152</v>
      </c>
      <c r="D7" s="3">
        <v>45772</v>
      </c>
      <c r="E7" s="31" t="str">
        <f>TEXT(Pinjaman[[#This Row],[Tanggal Pinjaman]],"yyy-mm")</f>
        <v>2025-04</v>
      </c>
      <c r="F7" s="38">
        <v>1000000</v>
      </c>
      <c r="G7" s="5">
        <f>IFERROR(IF(B7="","",SUMIFS(Cicilan[Jumlah Cicilan],Cicilan[ID],B7,Cicilan[Status],"Clear")),"")</f>
        <v>1000000</v>
      </c>
      <c r="H7" s="4" t="str">
        <f t="shared" si="0"/>
        <v>Lunas</v>
      </c>
      <c r="I7" s="5">
        <f t="shared" si="1"/>
        <v>0</v>
      </c>
      <c r="J7" s="22"/>
      <c r="K7" s="38">
        <v>500000</v>
      </c>
      <c r="L7" s="1" t="s">
        <v>187</v>
      </c>
      <c r="M7" s="1" t="s">
        <v>147</v>
      </c>
    </row>
    <row r="8" spans="2:14" x14ac:dyDescent="0.25">
      <c r="B8" s="1" t="s">
        <v>10</v>
      </c>
      <c r="C8" s="1" t="s">
        <v>153</v>
      </c>
      <c r="D8" s="3">
        <v>45692</v>
      </c>
      <c r="E8" s="31" t="str">
        <f>TEXT(Pinjaman[[#This Row],[Tanggal Pinjaman]],"yyy-mm")</f>
        <v>2025-02</v>
      </c>
      <c r="F8" s="38">
        <v>3000000</v>
      </c>
      <c r="G8" s="5">
        <f>IFERROR(IF(B8="","",SUMIFS(Cicilan[Jumlah Cicilan],Cicilan[ID],B8,Cicilan[Status],"Clear")),"")</f>
        <v>3000000</v>
      </c>
      <c r="H8" s="4" t="str">
        <f t="shared" si="0"/>
        <v>Lunas</v>
      </c>
      <c r="I8" s="5">
        <f t="shared" si="1"/>
        <v>0</v>
      </c>
      <c r="J8" s="22"/>
      <c r="K8" s="38">
        <v>500000</v>
      </c>
      <c r="L8" s="1" t="s">
        <v>188</v>
      </c>
      <c r="M8" s="1" t="s">
        <v>145</v>
      </c>
    </row>
    <row r="9" spans="2:14" x14ac:dyDescent="0.25">
      <c r="B9" s="1" t="s">
        <v>11</v>
      </c>
      <c r="C9" s="1" t="s">
        <v>192</v>
      </c>
      <c r="D9" s="3">
        <v>45702</v>
      </c>
      <c r="E9" s="31" t="str">
        <f>TEXT(Pinjaman[[#This Row],[Tanggal Pinjaman]],"yyy-mm")</f>
        <v>2025-02</v>
      </c>
      <c r="F9" s="38">
        <v>875000</v>
      </c>
      <c r="G9" s="5">
        <f>IFERROR(IF(B9="","",SUMIFS(Cicilan[Jumlah Cicilan],Cicilan[ID],B9,Cicilan[Status],"Clear")),"")</f>
        <v>875000</v>
      </c>
      <c r="H9" s="4" t="str">
        <f t="shared" si="0"/>
        <v>Lunas</v>
      </c>
      <c r="I9" s="5">
        <f t="shared" si="1"/>
        <v>0</v>
      </c>
      <c r="J9" s="19">
        <v>8</v>
      </c>
      <c r="K9" s="38">
        <v>100000</v>
      </c>
      <c r="L9" s="1" t="s">
        <v>188</v>
      </c>
      <c r="M9" s="1" t="s">
        <v>148</v>
      </c>
    </row>
    <row r="10" spans="2:14" x14ac:dyDescent="0.25">
      <c r="B10" s="1" t="s">
        <v>12</v>
      </c>
      <c r="C10" s="1" t="s">
        <v>185</v>
      </c>
      <c r="D10" s="3">
        <v>45640</v>
      </c>
      <c r="E10" s="31" t="str">
        <f>TEXT(Pinjaman[[#This Row],[Tanggal Pinjaman]],"yyy-mm")</f>
        <v>2024-12</v>
      </c>
      <c r="F10" s="38">
        <v>1000000</v>
      </c>
      <c r="G10" s="5">
        <f>IFERROR(IF(B10="","",SUMIFS(Cicilan[Jumlah Cicilan],Cicilan[ID],B10,Cicilan[Status],"Clear")),"")</f>
        <v>1000000</v>
      </c>
      <c r="H10" s="4" t="str">
        <f t="shared" si="0"/>
        <v>Lunas</v>
      </c>
      <c r="I10" s="5">
        <f t="shared" si="1"/>
        <v>0</v>
      </c>
      <c r="J10" s="22"/>
      <c r="K10" s="38"/>
      <c r="L10" s="1" t="s">
        <v>186</v>
      </c>
      <c r="M10" s="1" t="s">
        <v>147</v>
      </c>
    </row>
    <row r="11" spans="2:14" x14ac:dyDescent="0.25">
      <c r="B11" s="1" t="s">
        <v>13</v>
      </c>
      <c r="C11" s="1" t="s">
        <v>185</v>
      </c>
      <c r="D11" s="3">
        <v>45692</v>
      </c>
      <c r="E11" s="31" t="str">
        <f>TEXT(Pinjaman[[#This Row],[Tanggal Pinjaman]],"yyy-mm")</f>
        <v>2025-02</v>
      </c>
      <c r="F11" s="38">
        <v>2000000</v>
      </c>
      <c r="G11" s="5">
        <f>IFERROR(IF(B11="","",SUMIFS(Cicilan[Jumlah Cicilan],Cicilan[ID],B11,Cicilan[Status],"Clear")),"")</f>
        <v>2000000</v>
      </c>
      <c r="H11" s="4" t="str">
        <f t="shared" si="0"/>
        <v>Lunas</v>
      </c>
      <c r="I11" s="5">
        <f t="shared" si="1"/>
        <v>0</v>
      </c>
      <c r="J11" s="22"/>
      <c r="K11" s="38"/>
      <c r="L11" s="1" t="s">
        <v>188</v>
      </c>
      <c r="M11" s="1" t="s">
        <v>147</v>
      </c>
    </row>
    <row r="12" spans="2:14" x14ac:dyDescent="0.25">
      <c r="B12" s="1" t="s">
        <v>14</v>
      </c>
      <c r="C12" s="1" t="s">
        <v>185</v>
      </c>
      <c r="D12" s="3">
        <v>45784</v>
      </c>
      <c r="E12" s="31" t="str">
        <f>TEXT(Pinjaman[[#This Row],[Tanggal Pinjaman]],"yyy-mm")</f>
        <v>2025-05</v>
      </c>
      <c r="F12" s="38">
        <v>1000000</v>
      </c>
      <c r="G12" s="5">
        <f>IFERROR(IF(B12="","",SUMIFS(Cicilan[Jumlah Cicilan],Cicilan[ID],B12,Cicilan[Status],"Clear")),"")</f>
        <v>1000000</v>
      </c>
      <c r="H12" s="4" t="str">
        <f t="shared" si="0"/>
        <v>Lunas</v>
      </c>
      <c r="I12" s="5">
        <f t="shared" si="1"/>
        <v>0</v>
      </c>
      <c r="J12" s="22"/>
      <c r="K12" s="38"/>
      <c r="L12" s="1" t="s">
        <v>187</v>
      </c>
      <c r="M12" s="1" t="s">
        <v>147</v>
      </c>
    </row>
    <row r="13" spans="2:14" x14ac:dyDescent="0.25">
      <c r="B13" s="1" t="s">
        <v>15</v>
      </c>
      <c r="C13" s="1" t="s">
        <v>163</v>
      </c>
      <c r="D13" s="3">
        <v>45653</v>
      </c>
      <c r="E13" s="31" t="str">
        <f>TEXT(Pinjaman[[#This Row],[Tanggal Pinjaman]],"yyy-mm")</f>
        <v>2024-12</v>
      </c>
      <c r="F13" s="38">
        <v>4000000</v>
      </c>
      <c r="G13" s="5">
        <f>IFERROR(IF(B13="","",SUMIFS(Cicilan[Jumlah Cicilan],Cicilan[ID],B13,Cicilan[Status],"Clear")),"")</f>
        <v>4000000</v>
      </c>
      <c r="H13" s="4" t="str">
        <f t="shared" si="0"/>
        <v>Lunas</v>
      </c>
      <c r="I13" s="5">
        <f t="shared" si="1"/>
        <v>0</v>
      </c>
      <c r="J13" s="22"/>
      <c r="K13" s="38"/>
      <c r="L13" s="1" t="s">
        <v>186</v>
      </c>
      <c r="M13" s="1" t="s">
        <v>145</v>
      </c>
    </row>
    <row r="14" spans="2:14" x14ac:dyDescent="0.25">
      <c r="B14" s="1" t="s">
        <v>16</v>
      </c>
      <c r="C14" s="1" t="s">
        <v>154</v>
      </c>
      <c r="D14" s="3">
        <v>45590</v>
      </c>
      <c r="E14" s="31" t="str">
        <f>TEXT(Pinjaman[[#This Row],[Tanggal Pinjaman]],"yyy-mm")</f>
        <v>2024-10</v>
      </c>
      <c r="F14" s="38">
        <v>2000000</v>
      </c>
      <c r="G14" s="5">
        <f>IFERROR(IF(B14="","",SUMIFS(Cicilan[Jumlah Cicilan],Cicilan[ID],B14,Cicilan[Status],"Clear")),"")</f>
        <v>2000000</v>
      </c>
      <c r="H14" s="4" t="str">
        <f t="shared" si="0"/>
        <v>Lunas</v>
      </c>
      <c r="I14" s="5">
        <f t="shared" si="1"/>
        <v>0</v>
      </c>
      <c r="J14" s="22"/>
      <c r="K14" s="38"/>
      <c r="L14" s="1" t="s">
        <v>186</v>
      </c>
      <c r="M14" s="1" t="s">
        <v>117</v>
      </c>
    </row>
    <row r="15" spans="2:14" x14ac:dyDescent="0.25">
      <c r="B15" s="1" t="s">
        <v>17</v>
      </c>
      <c r="C15" s="1" t="s">
        <v>154</v>
      </c>
      <c r="D15" s="3">
        <v>45645</v>
      </c>
      <c r="E15" s="31" t="str">
        <f>TEXT(Pinjaman[[#This Row],[Tanggal Pinjaman]],"yyy-mm")</f>
        <v>2024-12</v>
      </c>
      <c r="F15" s="38">
        <v>1334000</v>
      </c>
      <c r="G15" s="5">
        <f>IFERROR(IF(B15="","",SUMIFS(Cicilan[Jumlah Cicilan],Cicilan[ID],B15,Cicilan[Status],"Clear")),"")</f>
        <v>1334000</v>
      </c>
      <c r="H15" s="4" t="str">
        <f t="shared" si="0"/>
        <v>Lunas</v>
      </c>
      <c r="I15" s="5">
        <f t="shared" si="1"/>
        <v>0</v>
      </c>
      <c r="J15" s="22"/>
      <c r="K15" s="38"/>
      <c r="L15" s="1" t="s">
        <v>186</v>
      </c>
      <c r="M15" s="1" t="s">
        <v>117</v>
      </c>
    </row>
    <row r="16" spans="2:14" x14ac:dyDescent="0.25">
      <c r="B16" s="1" t="s">
        <v>18</v>
      </c>
      <c r="C16" s="1" t="s">
        <v>154</v>
      </c>
      <c r="D16" s="3">
        <v>45843</v>
      </c>
      <c r="E16" s="31" t="str">
        <f>TEXT(Pinjaman[[#This Row],[Tanggal Pinjaman]],"yyy-mm")</f>
        <v>2025-07</v>
      </c>
      <c r="F16" s="38">
        <v>3000000</v>
      </c>
      <c r="G16" s="5">
        <f>IFERROR(IF(B16="","",SUMIFS(Cicilan[Jumlah Cicilan],Cicilan[ID],B16,Cicilan[Status],"Clear")),"")</f>
        <v>3000000</v>
      </c>
      <c r="H16" s="4" t="str">
        <f t="shared" si="0"/>
        <v>Lunas</v>
      </c>
      <c r="I16" s="5">
        <f t="shared" si="1"/>
        <v>0</v>
      </c>
      <c r="J16" s="22"/>
      <c r="K16" s="38"/>
      <c r="L16" s="1" t="s">
        <v>187</v>
      </c>
      <c r="M16" s="1" t="s">
        <v>117</v>
      </c>
    </row>
    <row r="17" spans="2:13" x14ac:dyDescent="0.25">
      <c r="B17" s="1" t="s">
        <v>19</v>
      </c>
      <c r="C17" s="1" t="s">
        <v>154</v>
      </c>
      <c r="D17" s="3">
        <v>45894</v>
      </c>
      <c r="E17" s="31" t="str">
        <f>TEXT(Pinjaman[[#This Row],[Tanggal Pinjaman]],"yyy-mm")</f>
        <v>2025-08</v>
      </c>
      <c r="F17" s="38">
        <v>3000000</v>
      </c>
      <c r="G17" s="5">
        <f>IFERROR(IF(B17="","",SUMIFS(Cicilan[Jumlah Cicilan],Cicilan[ID],B17,Cicilan[Status],"Clear")),"")</f>
        <v>3000000</v>
      </c>
      <c r="H17" s="4" t="str">
        <f t="shared" si="0"/>
        <v>Lunas</v>
      </c>
      <c r="I17" s="5">
        <f t="shared" si="1"/>
        <v>0</v>
      </c>
      <c r="J17" s="19">
        <v>2</v>
      </c>
      <c r="K17" s="38">
        <v>1500000</v>
      </c>
      <c r="L17" s="1" t="s">
        <v>187</v>
      </c>
      <c r="M17" s="1" t="s">
        <v>117</v>
      </c>
    </row>
    <row r="18" spans="2:13" x14ac:dyDescent="0.25">
      <c r="B18" s="1" t="s">
        <v>22</v>
      </c>
      <c r="C18" s="1" t="s">
        <v>155</v>
      </c>
      <c r="D18" s="3">
        <v>45723</v>
      </c>
      <c r="E18" s="31" t="str">
        <f>TEXT(Pinjaman[[#This Row],[Tanggal Pinjaman]],"yyy-mm")</f>
        <v>2025-03</v>
      </c>
      <c r="F18" s="38">
        <v>500000</v>
      </c>
      <c r="G18" s="5">
        <f>IFERROR(IF(B18="","",SUMIFS(Cicilan[Jumlah Cicilan],Cicilan[ID],B18,Cicilan[Status],"Clear")),"")</f>
        <v>500000</v>
      </c>
      <c r="H18" s="4" t="str">
        <f t="shared" si="0"/>
        <v>Lunas</v>
      </c>
      <c r="I18" s="5">
        <f t="shared" si="1"/>
        <v>0</v>
      </c>
      <c r="J18" s="22"/>
      <c r="K18" s="38"/>
      <c r="L18" s="1" t="s">
        <v>187</v>
      </c>
      <c r="M18" s="1" t="s">
        <v>147</v>
      </c>
    </row>
    <row r="19" spans="2:13" x14ac:dyDescent="0.25">
      <c r="B19" s="1" t="s">
        <v>23</v>
      </c>
      <c r="C19" s="1" t="s">
        <v>179</v>
      </c>
      <c r="D19" s="3">
        <v>45731</v>
      </c>
      <c r="E19" s="31" t="str">
        <f>TEXT(Pinjaman[[#This Row],[Tanggal Pinjaman]],"yyy-mm")</f>
        <v>2025-03</v>
      </c>
      <c r="F19" s="38">
        <v>3000000</v>
      </c>
      <c r="G19" s="5">
        <f>IFERROR(IF(B19="","",SUMIFS(Cicilan[Jumlah Cicilan],Cicilan[ID],B19,Cicilan[Status],"Clear")),"")</f>
        <v>3000000</v>
      </c>
      <c r="H19" s="4" t="str">
        <f t="shared" si="0"/>
        <v>Lunas</v>
      </c>
      <c r="I19" s="5">
        <f t="shared" si="1"/>
        <v>0</v>
      </c>
      <c r="J19" s="22"/>
      <c r="K19" s="38"/>
      <c r="L19" s="1" t="s">
        <v>187</v>
      </c>
      <c r="M19" s="1" t="s">
        <v>145</v>
      </c>
    </row>
    <row r="20" spans="2:13" x14ac:dyDescent="0.25">
      <c r="B20" s="1" t="s">
        <v>24</v>
      </c>
      <c r="C20" s="1" t="s">
        <v>179</v>
      </c>
      <c r="D20" s="3">
        <v>45786</v>
      </c>
      <c r="E20" s="31" t="str">
        <f>TEXT(Pinjaman[[#This Row],[Tanggal Pinjaman]],"yyy-mm")</f>
        <v>2025-05</v>
      </c>
      <c r="F20" s="38">
        <v>2500000</v>
      </c>
      <c r="G20" s="5">
        <f>IFERROR(IF(B20="","",SUMIFS(Cicilan[Jumlah Cicilan],Cicilan[ID],B20,Cicilan[Status],"Clear")),"")</f>
        <v>2500000</v>
      </c>
      <c r="H20" s="4" t="str">
        <f t="shared" si="0"/>
        <v>Lunas</v>
      </c>
      <c r="I20" s="5">
        <f t="shared" si="1"/>
        <v>0</v>
      </c>
      <c r="J20" s="22"/>
      <c r="K20" s="38"/>
      <c r="L20" s="1" t="s">
        <v>187</v>
      </c>
      <c r="M20" s="1" t="s">
        <v>145</v>
      </c>
    </row>
    <row r="21" spans="2:13" x14ac:dyDescent="0.25">
      <c r="B21" s="1" t="s">
        <v>27</v>
      </c>
      <c r="C21" s="1" t="s">
        <v>26</v>
      </c>
      <c r="D21" s="3">
        <v>45716</v>
      </c>
      <c r="E21" s="31" t="str">
        <f>TEXT(Pinjaman[[#This Row],[Tanggal Pinjaman]],"yyy-mm")</f>
        <v>2025-02</v>
      </c>
      <c r="F21" s="38">
        <v>1500000</v>
      </c>
      <c r="G21" s="5">
        <f>IFERROR(IF(B21="","",SUMIFS(Cicilan[Jumlah Cicilan],Cicilan[ID],B21,Cicilan[Status],"Clear")),"")</f>
        <v>1500000</v>
      </c>
      <c r="H21" s="4" t="str">
        <f t="shared" si="0"/>
        <v>Lunas</v>
      </c>
      <c r="I21" s="5">
        <f t="shared" si="1"/>
        <v>0</v>
      </c>
      <c r="J21" s="22"/>
      <c r="K21" s="38"/>
      <c r="L21" s="1" t="s">
        <v>188</v>
      </c>
      <c r="M21" s="1" t="s">
        <v>145</v>
      </c>
    </row>
    <row r="22" spans="2:13" x14ac:dyDescent="0.25">
      <c r="B22" s="1" t="s">
        <v>28</v>
      </c>
      <c r="C22" s="1" t="s">
        <v>26</v>
      </c>
      <c r="D22" s="3">
        <v>45753</v>
      </c>
      <c r="E22" s="31" t="str">
        <f>TEXT(Pinjaman[[#This Row],[Tanggal Pinjaman]],"yyy-mm")</f>
        <v>2025-04</v>
      </c>
      <c r="F22" s="38">
        <v>2000000</v>
      </c>
      <c r="G22" s="5">
        <f>IFERROR(IF(B22="","",SUMIFS(Cicilan[Jumlah Cicilan],Cicilan[ID],B22,Cicilan[Status],"Clear")),"")</f>
        <v>2000000</v>
      </c>
      <c r="H22" s="4" t="str">
        <f t="shared" si="0"/>
        <v>Lunas</v>
      </c>
      <c r="I22" s="5">
        <f t="shared" si="1"/>
        <v>0</v>
      </c>
      <c r="J22" s="22"/>
      <c r="K22" s="38"/>
      <c r="L22" s="1" t="s">
        <v>188</v>
      </c>
      <c r="M22" s="1" t="s">
        <v>145</v>
      </c>
    </row>
    <row r="23" spans="2:13" x14ac:dyDescent="0.25">
      <c r="B23" s="1" t="s">
        <v>29</v>
      </c>
      <c r="C23" s="1" t="s">
        <v>26</v>
      </c>
      <c r="D23" s="3">
        <v>45870</v>
      </c>
      <c r="E23" s="31" t="str">
        <f>TEXT(Pinjaman[[#This Row],[Tanggal Pinjaman]],"yyy-mm")</f>
        <v>2025-08</v>
      </c>
      <c r="F23" s="38">
        <v>1000000</v>
      </c>
      <c r="G23" s="5">
        <f>IFERROR(IF(B23="","",SUMIFS(Cicilan[Jumlah Cicilan],Cicilan[ID],B23,Cicilan[Status],"Clear")),"")</f>
        <v>1000000</v>
      </c>
      <c r="H23" s="4" t="str">
        <f t="shared" si="0"/>
        <v>Lunas</v>
      </c>
      <c r="I23" s="5">
        <f t="shared" si="1"/>
        <v>0</v>
      </c>
      <c r="J23" s="22"/>
      <c r="K23" s="38"/>
      <c r="L23" s="1" t="s">
        <v>189</v>
      </c>
      <c r="M23" s="1" t="s">
        <v>145</v>
      </c>
    </row>
    <row r="24" spans="2:13" x14ac:dyDescent="0.25">
      <c r="B24" s="1" t="s">
        <v>30</v>
      </c>
      <c r="C24" s="1" t="s">
        <v>180</v>
      </c>
      <c r="D24" s="3">
        <v>45768</v>
      </c>
      <c r="E24" s="31" t="str">
        <f>TEXT(Pinjaman[[#This Row],[Tanggal Pinjaman]],"yyy-mm")</f>
        <v>2025-04</v>
      </c>
      <c r="F24" s="38">
        <v>2000000</v>
      </c>
      <c r="G24" s="5">
        <f>IFERROR(IF(B24="","",SUMIFS(Cicilan[Jumlah Cicilan],Cicilan[ID],B24,Cicilan[Status],"Clear")),"")</f>
        <v>2000000</v>
      </c>
      <c r="H24" s="4" t="str">
        <f t="shared" si="0"/>
        <v>Lunas</v>
      </c>
      <c r="I24" s="5">
        <f t="shared" si="1"/>
        <v>0</v>
      </c>
      <c r="J24" s="22"/>
      <c r="K24" s="38"/>
      <c r="L24" s="1" t="s">
        <v>187</v>
      </c>
      <c r="M24" s="1" t="s">
        <v>147</v>
      </c>
    </row>
    <row r="25" spans="2:13" x14ac:dyDescent="0.25">
      <c r="B25" s="1" t="s">
        <v>31</v>
      </c>
      <c r="C25" s="1" t="s">
        <v>36</v>
      </c>
      <c r="D25" s="3">
        <v>45784</v>
      </c>
      <c r="E25" s="31" t="str">
        <f>TEXT(Pinjaman[[#This Row],[Tanggal Pinjaman]],"yyy-mm")</f>
        <v>2025-05</v>
      </c>
      <c r="F25" s="38">
        <v>2000000</v>
      </c>
      <c r="G25" s="5">
        <f>IFERROR(IF(B25="","",SUMIFS(Cicilan[Jumlah Cicilan],Cicilan[ID],B25,Cicilan[Status],"Clear")),"")</f>
        <v>2000000</v>
      </c>
      <c r="H25" s="4" t="str">
        <f t="shared" si="0"/>
        <v>Lunas</v>
      </c>
      <c r="I25" s="5">
        <f t="shared" si="1"/>
        <v>0</v>
      </c>
      <c r="J25" s="22"/>
      <c r="K25" s="38"/>
      <c r="L25" s="1" t="s">
        <v>187</v>
      </c>
      <c r="M25" s="1" t="s">
        <v>147</v>
      </c>
    </row>
    <row r="26" spans="2:13" x14ac:dyDescent="0.25">
      <c r="B26" s="1" t="s">
        <v>32</v>
      </c>
      <c r="C26" s="1" t="s">
        <v>181</v>
      </c>
      <c r="D26" s="3">
        <v>45784</v>
      </c>
      <c r="E26" s="31" t="str">
        <f>TEXT(Pinjaman[[#This Row],[Tanggal Pinjaman]],"yyy-mm")</f>
        <v>2025-05</v>
      </c>
      <c r="F26" s="38">
        <v>1500000</v>
      </c>
      <c r="G26" s="5">
        <f>IFERROR(IF(B26="","",SUMIFS(Cicilan[Jumlah Cicilan],Cicilan[ID],B26,Cicilan[Status],"Clear")),"")</f>
        <v>1500000</v>
      </c>
      <c r="H26" s="4" t="str">
        <f t="shared" si="0"/>
        <v>Lunas</v>
      </c>
      <c r="I26" s="5">
        <f t="shared" si="1"/>
        <v>0</v>
      </c>
      <c r="J26" s="22"/>
      <c r="K26" s="38"/>
      <c r="L26" s="1" t="s">
        <v>187</v>
      </c>
      <c r="M26" s="1" t="s">
        <v>147</v>
      </c>
    </row>
    <row r="27" spans="2:13" x14ac:dyDescent="0.25">
      <c r="B27" s="1" t="s">
        <v>33</v>
      </c>
      <c r="C27" s="1" t="s">
        <v>170</v>
      </c>
      <c r="D27" s="3">
        <v>45784</v>
      </c>
      <c r="E27" s="31" t="str">
        <f>TEXT(Pinjaman[[#This Row],[Tanggal Pinjaman]],"yyy-mm")</f>
        <v>2025-05</v>
      </c>
      <c r="F27" s="38">
        <v>4000000</v>
      </c>
      <c r="G27" s="5">
        <f>IFERROR(IF(B27="","",SUMIFS(Cicilan[Jumlah Cicilan],Cicilan[ID],B27,Cicilan[Status],"Clear")),"")</f>
        <v>4000000</v>
      </c>
      <c r="H27" s="4" t="str">
        <f t="shared" si="0"/>
        <v>Lunas</v>
      </c>
      <c r="I27" s="5">
        <f t="shared" si="1"/>
        <v>0</v>
      </c>
      <c r="J27" s="19">
        <v>4</v>
      </c>
      <c r="K27" s="38">
        <v>1000000</v>
      </c>
      <c r="L27" s="1" t="s">
        <v>187</v>
      </c>
      <c r="M27" s="1" t="s">
        <v>145</v>
      </c>
    </row>
    <row r="28" spans="2:13" x14ac:dyDescent="0.25">
      <c r="B28" s="1" t="s">
        <v>34</v>
      </c>
      <c r="C28" s="1" t="s">
        <v>177</v>
      </c>
      <c r="D28" s="3">
        <v>45788</v>
      </c>
      <c r="E28" s="31" t="str">
        <f>TEXT(Pinjaman[[#This Row],[Tanggal Pinjaman]],"yyy-mm")</f>
        <v>2025-05</v>
      </c>
      <c r="F28" s="38">
        <v>1000000</v>
      </c>
      <c r="G28" s="5">
        <f>IFERROR(IF(B28="","",SUMIFS(Cicilan[Jumlah Cicilan],Cicilan[ID],B28,Cicilan[Status],"Clear")),"")</f>
        <v>1000000</v>
      </c>
      <c r="H28" s="4" t="str">
        <f t="shared" si="0"/>
        <v>Lunas</v>
      </c>
      <c r="I28" s="5">
        <f t="shared" si="1"/>
        <v>0</v>
      </c>
      <c r="J28" s="22"/>
      <c r="K28" s="38"/>
      <c r="L28" s="1" t="s">
        <v>187</v>
      </c>
      <c r="M28" s="1" t="s">
        <v>118</v>
      </c>
    </row>
    <row r="29" spans="2:13" x14ac:dyDescent="0.25">
      <c r="B29" s="1" t="s">
        <v>35</v>
      </c>
      <c r="C29" s="1" t="s">
        <v>176</v>
      </c>
      <c r="D29" s="3">
        <v>45797</v>
      </c>
      <c r="E29" s="31" t="str">
        <f>TEXT(Pinjaman[[#This Row],[Tanggal Pinjaman]],"yyy-mm")</f>
        <v>2025-05</v>
      </c>
      <c r="F29" s="38">
        <v>5000000</v>
      </c>
      <c r="G29" s="5">
        <f>IFERROR(IF(B29="","",SUMIFS(Cicilan[Jumlah Cicilan],Cicilan[ID],B29,Cicilan[Status],"Clear")),"")</f>
        <v>5000000</v>
      </c>
      <c r="H29" s="4" t="str">
        <f t="shared" si="0"/>
        <v>Lunas</v>
      </c>
      <c r="I29" s="5">
        <f t="shared" si="1"/>
        <v>0</v>
      </c>
      <c r="J29" s="22"/>
      <c r="K29" s="38"/>
      <c r="L29" s="1" t="s">
        <v>187</v>
      </c>
      <c r="M29" s="1" t="s">
        <v>145</v>
      </c>
    </row>
    <row r="30" spans="2:13" x14ac:dyDescent="0.25">
      <c r="B30" s="1" t="s">
        <v>40</v>
      </c>
      <c r="C30" s="1" t="s">
        <v>156</v>
      </c>
      <c r="D30" s="3">
        <v>45793</v>
      </c>
      <c r="E30" s="31" t="str">
        <f>TEXT(Pinjaman[[#This Row],[Tanggal Pinjaman]],"yyy-mm")</f>
        <v>2025-05</v>
      </c>
      <c r="F30" s="38">
        <v>2605000</v>
      </c>
      <c r="G30" s="5">
        <f>IFERROR(IF(B30="","",SUMIFS(Cicilan[Jumlah Cicilan],Cicilan[ID],B30,Cicilan[Status],"Clear")),"")</f>
        <v>2605000</v>
      </c>
      <c r="H30" s="4" t="str">
        <f t="shared" si="0"/>
        <v>Lunas</v>
      </c>
      <c r="I30" s="5">
        <f t="shared" si="1"/>
        <v>0</v>
      </c>
      <c r="J30" s="22"/>
      <c r="K30" s="38"/>
      <c r="L30" s="1" t="s">
        <v>189</v>
      </c>
      <c r="M30" s="1" t="s">
        <v>117</v>
      </c>
    </row>
    <row r="31" spans="2:13" x14ac:dyDescent="0.25">
      <c r="B31" s="1" t="s">
        <v>41</v>
      </c>
      <c r="C31" s="1" t="s">
        <v>39</v>
      </c>
      <c r="D31" s="3">
        <v>45793</v>
      </c>
      <c r="E31" s="31" t="str">
        <f>TEXT(Pinjaman[[#This Row],[Tanggal Pinjaman]],"yyy-mm")</f>
        <v>2025-05</v>
      </c>
      <c r="F31" s="38">
        <v>846284</v>
      </c>
      <c r="G31" s="5">
        <f>IFERROR(IF(B31="","",SUMIFS(Cicilan[Jumlah Cicilan],Cicilan[ID],B31,Cicilan[Status],"Clear")),"")</f>
        <v>846284</v>
      </c>
      <c r="H31" s="4" t="str">
        <f t="shared" si="0"/>
        <v>Lunas</v>
      </c>
      <c r="I31" s="5">
        <f t="shared" si="1"/>
        <v>0</v>
      </c>
      <c r="J31" s="22"/>
      <c r="K31" s="38"/>
      <c r="L31" s="1" t="s">
        <v>189</v>
      </c>
      <c r="M31" s="1" t="s">
        <v>118</v>
      </c>
    </row>
    <row r="32" spans="2:13" x14ac:dyDescent="0.25">
      <c r="B32" s="1" t="s">
        <v>42</v>
      </c>
      <c r="C32" s="1" t="s">
        <v>178</v>
      </c>
      <c r="D32" s="3">
        <v>45807</v>
      </c>
      <c r="E32" s="31" t="str">
        <f>TEXT(Pinjaman[[#This Row],[Tanggal Pinjaman]],"yyy-mm")</f>
        <v>2025-05</v>
      </c>
      <c r="F32" s="38">
        <v>3000000</v>
      </c>
      <c r="G32" s="5">
        <f>IFERROR(IF(B32="","",SUMIFS(Cicilan[Jumlah Cicilan],Cicilan[ID],B32,Cicilan[Status],"Clear")),"")</f>
        <v>3000000</v>
      </c>
      <c r="H32" s="4" t="str">
        <f t="shared" si="0"/>
        <v>Lunas</v>
      </c>
      <c r="I32" s="5">
        <f t="shared" si="1"/>
        <v>0</v>
      </c>
      <c r="J32" s="22"/>
      <c r="K32" s="38"/>
      <c r="L32" s="1" t="s">
        <v>187</v>
      </c>
      <c r="M32" s="1" t="s">
        <v>147</v>
      </c>
    </row>
    <row r="33" spans="2:13" x14ac:dyDescent="0.25">
      <c r="B33" s="1" t="s">
        <v>43</v>
      </c>
      <c r="C33" s="1" t="s">
        <v>184</v>
      </c>
      <c r="D33" s="3">
        <v>45811</v>
      </c>
      <c r="E33" s="31" t="str">
        <f>TEXT(Pinjaman[[#This Row],[Tanggal Pinjaman]],"yyy-mm")</f>
        <v>2025-06</v>
      </c>
      <c r="F33" s="38">
        <v>5000000</v>
      </c>
      <c r="G33" s="5">
        <f>IFERROR(IF(B33="","",SUMIFS(Cicilan[Jumlah Cicilan],Cicilan[ID],B33,Cicilan[Status],"Clear")),"")</f>
        <v>5000000</v>
      </c>
      <c r="H33" s="4" t="str">
        <f t="shared" si="0"/>
        <v>Lunas</v>
      </c>
      <c r="I33" s="5">
        <f t="shared" si="1"/>
        <v>0</v>
      </c>
      <c r="J33" s="22"/>
      <c r="K33" s="38"/>
      <c r="L33" s="1" t="s">
        <v>189</v>
      </c>
      <c r="M33" s="1" t="s">
        <v>145</v>
      </c>
    </row>
    <row r="34" spans="2:13" x14ac:dyDescent="0.25">
      <c r="B34" s="1" t="s">
        <v>44</v>
      </c>
      <c r="C34" s="1" t="s">
        <v>183</v>
      </c>
      <c r="D34" s="3">
        <v>45812</v>
      </c>
      <c r="E34" s="31" t="str">
        <f>TEXT(Pinjaman[[#This Row],[Tanggal Pinjaman]],"yyy-mm")</f>
        <v>2025-06</v>
      </c>
      <c r="F34" s="38">
        <v>1500000</v>
      </c>
      <c r="G34" s="5">
        <f>IFERROR(IF(B34="","",SUMIFS(Cicilan[Jumlah Cicilan],Cicilan[ID],B34,Cicilan[Status],"Clear")),"")</f>
        <v>1500000</v>
      </c>
      <c r="H34" s="4" t="str">
        <f t="shared" si="0"/>
        <v>Lunas</v>
      </c>
      <c r="I34" s="5">
        <f t="shared" si="1"/>
        <v>0</v>
      </c>
      <c r="J34" s="22"/>
      <c r="K34" s="38"/>
      <c r="L34" s="1" t="s">
        <v>187</v>
      </c>
      <c r="M34" s="1" t="s">
        <v>147</v>
      </c>
    </row>
    <row r="35" spans="2:13" x14ac:dyDescent="0.25">
      <c r="B35" s="1" t="s">
        <v>45</v>
      </c>
      <c r="C35" s="1" t="s">
        <v>182</v>
      </c>
      <c r="D35" s="3">
        <v>45812</v>
      </c>
      <c r="E35" s="31" t="str">
        <f>TEXT(Pinjaman[[#This Row],[Tanggal Pinjaman]],"yyy-mm")</f>
        <v>2025-06</v>
      </c>
      <c r="F35" s="38">
        <v>3000000</v>
      </c>
      <c r="G35" s="5">
        <f>IFERROR(IF(B35="","",SUMIFS(Cicilan[Jumlah Cicilan],Cicilan[ID],B35,Cicilan[Status],"Clear")),"")</f>
        <v>3000000</v>
      </c>
      <c r="H35" s="4" t="str">
        <f t="shared" si="0"/>
        <v>Lunas</v>
      </c>
      <c r="I35" s="5">
        <f t="shared" si="1"/>
        <v>0</v>
      </c>
      <c r="J35" s="19">
        <v>3</v>
      </c>
      <c r="K35" s="38">
        <v>1000000</v>
      </c>
      <c r="L35" s="1" t="s">
        <v>187</v>
      </c>
      <c r="M35" s="1" t="s">
        <v>147</v>
      </c>
    </row>
    <row r="36" spans="2:13" x14ac:dyDescent="0.25">
      <c r="B36" s="1" t="s">
        <v>46</v>
      </c>
      <c r="C36" s="1" t="s">
        <v>165</v>
      </c>
      <c r="D36" s="3">
        <v>45812</v>
      </c>
      <c r="E36" s="31" t="str">
        <f>TEXT(Pinjaman[[#This Row],[Tanggal Pinjaman]],"yyy-mm")</f>
        <v>2025-06</v>
      </c>
      <c r="F36" s="38">
        <v>1000000</v>
      </c>
      <c r="G36" s="5">
        <f>IFERROR(IF(B36="","",SUMIFS(Cicilan[Jumlah Cicilan],Cicilan[ID],B36,Cicilan[Status],"Clear")),"")</f>
        <v>1000000</v>
      </c>
      <c r="H36" s="4" t="str">
        <f t="shared" ref="H36:H67" si="2">IF(B36="","",IF(I36=0,"Lunas","Belum Lunas"))</f>
        <v>Lunas</v>
      </c>
      <c r="I36" s="5">
        <f t="shared" ref="I36:I67" si="3">F36-G36</f>
        <v>0</v>
      </c>
      <c r="J36" s="22"/>
      <c r="K36" s="38"/>
      <c r="L36" s="1" t="s">
        <v>187</v>
      </c>
      <c r="M36" s="1" t="s">
        <v>119</v>
      </c>
    </row>
    <row r="37" spans="2:13" x14ac:dyDescent="0.25">
      <c r="B37" s="1" t="s">
        <v>47</v>
      </c>
      <c r="C37" s="1" t="s">
        <v>164</v>
      </c>
      <c r="D37" s="3">
        <v>45827</v>
      </c>
      <c r="E37" s="31" t="str">
        <f>TEXT(Pinjaman[[#This Row],[Tanggal Pinjaman]],"yyy-mm")</f>
        <v>2025-06</v>
      </c>
      <c r="F37" s="38">
        <v>2000000</v>
      </c>
      <c r="G37" s="5">
        <f>IFERROR(IF(B37="","",SUMIFS(Cicilan[Jumlah Cicilan],Cicilan[ID],B37,Cicilan[Status],"Clear")),"")</f>
        <v>2000000</v>
      </c>
      <c r="H37" s="4" t="str">
        <f t="shared" si="2"/>
        <v>Lunas</v>
      </c>
      <c r="I37" s="5">
        <f t="shared" si="3"/>
        <v>0</v>
      </c>
      <c r="J37" s="19">
        <v>4</v>
      </c>
      <c r="K37" s="38">
        <v>500000</v>
      </c>
      <c r="L37" s="1" t="s">
        <v>187</v>
      </c>
      <c r="M37" s="1" t="s">
        <v>147</v>
      </c>
    </row>
    <row r="38" spans="2:13" x14ac:dyDescent="0.25">
      <c r="B38" s="1" t="s">
        <v>48</v>
      </c>
      <c r="C38" s="1" t="s">
        <v>168</v>
      </c>
      <c r="D38" s="3">
        <v>45828</v>
      </c>
      <c r="E38" s="31" t="str">
        <f>TEXT(Pinjaman[[#This Row],[Tanggal Pinjaman]],"yyy-mm")</f>
        <v>2025-06</v>
      </c>
      <c r="F38" s="38">
        <v>700000</v>
      </c>
      <c r="G38" s="5">
        <f>IFERROR(IF(B38="","",SUMIFS(Cicilan[Jumlah Cicilan],Cicilan[ID],B38,Cicilan[Status],"Clear")),"")</f>
        <v>700000</v>
      </c>
      <c r="H38" s="4" t="str">
        <f t="shared" si="2"/>
        <v>Lunas</v>
      </c>
      <c r="I38" s="5">
        <f t="shared" si="3"/>
        <v>0</v>
      </c>
      <c r="J38" s="22"/>
      <c r="K38" s="38"/>
      <c r="L38" s="1" t="s">
        <v>187</v>
      </c>
      <c r="M38" s="1" t="s">
        <v>147</v>
      </c>
    </row>
    <row r="39" spans="2:13" x14ac:dyDescent="0.25">
      <c r="B39" s="1" t="s">
        <v>49</v>
      </c>
      <c r="C39" s="1" t="s">
        <v>156</v>
      </c>
      <c r="D39" s="3">
        <v>45831</v>
      </c>
      <c r="E39" s="31" t="str">
        <f>TEXT(Pinjaman[[#This Row],[Tanggal Pinjaman]],"yyy-mm")</f>
        <v>2025-06</v>
      </c>
      <c r="F39" s="38">
        <v>2000000</v>
      </c>
      <c r="G39" s="5">
        <f>IFERROR(IF(B39="","",SUMIFS(Cicilan[Jumlah Cicilan],Cicilan[ID],B39,Cicilan[Status],"Clear")),"")</f>
        <v>2000000</v>
      </c>
      <c r="H39" s="4" t="str">
        <f t="shared" si="2"/>
        <v>Lunas</v>
      </c>
      <c r="I39" s="5">
        <f t="shared" si="3"/>
        <v>0</v>
      </c>
      <c r="J39" s="19">
        <v>2</v>
      </c>
      <c r="K39" s="38">
        <v>1000000</v>
      </c>
      <c r="L39" s="1" t="s">
        <v>187</v>
      </c>
      <c r="M39" s="1" t="s">
        <v>117</v>
      </c>
    </row>
    <row r="40" spans="2:13" x14ac:dyDescent="0.25">
      <c r="B40" s="1" t="s">
        <v>50</v>
      </c>
      <c r="C40" s="1" t="s">
        <v>157</v>
      </c>
      <c r="D40" s="3">
        <v>45839</v>
      </c>
      <c r="E40" s="31" t="str">
        <f>TEXT(Pinjaman[[#This Row],[Tanggal Pinjaman]],"yyy-mm")</f>
        <v>2025-07</v>
      </c>
      <c r="F40" s="38">
        <v>3500000</v>
      </c>
      <c r="G40" s="5">
        <f>IFERROR(IF(B40="","",SUMIFS(Cicilan[Jumlah Cicilan],Cicilan[ID],B40,Cicilan[Status],"Clear")),"")</f>
        <v>3500000</v>
      </c>
      <c r="H40" s="4" t="str">
        <f t="shared" si="2"/>
        <v>Lunas</v>
      </c>
      <c r="I40" s="5">
        <f t="shared" si="3"/>
        <v>0</v>
      </c>
      <c r="J40" s="22"/>
      <c r="K40" s="38"/>
      <c r="L40" s="1" t="s">
        <v>187</v>
      </c>
      <c r="M40" s="1" t="s">
        <v>119</v>
      </c>
    </row>
    <row r="41" spans="2:13" x14ac:dyDescent="0.25">
      <c r="B41" s="1" t="s">
        <v>51</v>
      </c>
      <c r="C41" s="1" t="s">
        <v>191</v>
      </c>
      <c r="D41" s="3">
        <v>45843</v>
      </c>
      <c r="E41" s="31" t="str">
        <f>TEXT(Pinjaman[[#This Row],[Tanggal Pinjaman]],"yyy-mm")</f>
        <v>2025-07</v>
      </c>
      <c r="F41" s="38">
        <v>2000000</v>
      </c>
      <c r="G41" s="5">
        <f>IFERROR(IF(B41="","",SUMIFS(Cicilan[Jumlah Cicilan],Cicilan[ID],B41,Cicilan[Status],"Clear")),"")</f>
        <v>2000000</v>
      </c>
      <c r="H41" s="4" t="str">
        <f t="shared" si="2"/>
        <v>Lunas</v>
      </c>
      <c r="I41" s="5">
        <f t="shared" si="3"/>
        <v>0</v>
      </c>
      <c r="J41" s="22"/>
      <c r="K41" s="38"/>
      <c r="L41" s="1" t="s">
        <v>187</v>
      </c>
      <c r="M41" s="1" t="s">
        <v>117</v>
      </c>
    </row>
    <row r="42" spans="2:13" x14ac:dyDescent="0.25">
      <c r="B42" s="1" t="s">
        <v>52</v>
      </c>
      <c r="C42" s="1" t="s">
        <v>172</v>
      </c>
      <c r="D42" s="3">
        <v>45849</v>
      </c>
      <c r="E42" s="31" t="str">
        <f>TEXT(Pinjaman[[#This Row],[Tanggal Pinjaman]],"yyy-mm")</f>
        <v>2025-07</v>
      </c>
      <c r="F42" s="38">
        <v>3000000</v>
      </c>
      <c r="G42" s="5">
        <f>IFERROR(IF(B42="","",SUMIFS(Cicilan[Jumlah Cicilan],Cicilan[ID],B42,Cicilan[Status],"Clear")),"")</f>
        <v>3000000</v>
      </c>
      <c r="H42" s="4" t="str">
        <f t="shared" si="2"/>
        <v>Lunas</v>
      </c>
      <c r="I42" s="5">
        <f t="shared" si="3"/>
        <v>0</v>
      </c>
      <c r="J42" s="19">
        <v>2</v>
      </c>
      <c r="K42" s="38">
        <v>1500000</v>
      </c>
      <c r="L42" s="1" t="s">
        <v>187</v>
      </c>
      <c r="M42" s="1" t="s">
        <v>147</v>
      </c>
    </row>
    <row r="43" spans="2:13" x14ac:dyDescent="0.25">
      <c r="B43" s="1" t="s">
        <v>54</v>
      </c>
      <c r="C43" s="1" t="s">
        <v>159</v>
      </c>
      <c r="D43" s="3">
        <v>45880</v>
      </c>
      <c r="E43" s="31" t="str">
        <f>TEXT(Pinjaman[[#This Row],[Tanggal Pinjaman]],"yyy-mm")</f>
        <v>2025-08</v>
      </c>
      <c r="F43" s="38">
        <v>5000000</v>
      </c>
      <c r="G43" s="5">
        <f>IFERROR(IF(B43="","",SUMIFS(Cicilan[Jumlah Cicilan],Cicilan[ID],B43,Cicilan[Status],"Clear")),"")</f>
        <v>5000000</v>
      </c>
      <c r="H43" s="4" t="str">
        <f t="shared" si="2"/>
        <v>Lunas</v>
      </c>
      <c r="I43" s="5">
        <f t="shared" si="3"/>
        <v>0</v>
      </c>
      <c r="J43" s="19">
        <v>3</v>
      </c>
      <c r="K43" s="38"/>
      <c r="L43" s="1" t="s">
        <v>187</v>
      </c>
      <c r="M43" s="1" t="s">
        <v>147</v>
      </c>
    </row>
    <row r="44" spans="2:13" x14ac:dyDescent="0.25">
      <c r="B44" s="1" t="s">
        <v>55</v>
      </c>
      <c r="C44" s="1" t="s">
        <v>157</v>
      </c>
      <c r="D44" s="3">
        <v>45870</v>
      </c>
      <c r="E44" s="31" t="str">
        <f>TEXT(Pinjaman[[#This Row],[Tanggal Pinjaman]],"yyy-mm")</f>
        <v>2025-08</v>
      </c>
      <c r="F44" s="38">
        <v>2000000</v>
      </c>
      <c r="G44" s="5">
        <f>IFERROR(IF(B44="","",SUMIFS(Cicilan[Jumlah Cicilan],Cicilan[ID],B44,Cicilan[Status],"Clear")),"")</f>
        <v>2000000</v>
      </c>
      <c r="H44" s="4" t="str">
        <f t="shared" si="2"/>
        <v>Lunas</v>
      </c>
      <c r="I44" s="5">
        <f t="shared" si="3"/>
        <v>0</v>
      </c>
      <c r="J44" s="22"/>
      <c r="K44" s="38"/>
      <c r="L44" s="1" t="s">
        <v>187</v>
      </c>
      <c r="M44" s="1" t="s">
        <v>119</v>
      </c>
    </row>
    <row r="45" spans="2:13" x14ac:dyDescent="0.25">
      <c r="B45" s="1" t="s">
        <v>61</v>
      </c>
      <c r="C45" s="1" t="s">
        <v>191</v>
      </c>
      <c r="D45" s="3">
        <v>45894</v>
      </c>
      <c r="E45" s="31" t="str">
        <f>TEXT(Pinjaman[[#This Row],[Tanggal Pinjaman]],"yyy-mm")</f>
        <v>2025-08</v>
      </c>
      <c r="F45" s="38">
        <v>2000000</v>
      </c>
      <c r="G45" s="5">
        <f>IFERROR(IF(B45="","",SUMIFS(Cicilan[Jumlah Cicilan],Cicilan[ID],B45,Cicilan[Status],"Clear")),"")</f>
        <v>2000000</v>
      </c>
      <c r="H45" s="4" t="str">
        <f t="shared" si="2"/>
        <v>Lunas</v>
      </c>
      <c r="I45" s="5">
        <f t="shared" si="3"/>
        <v>0</v>
      </c>
      <c r="J45" s="19">
        <v>1</v>
      </c>
      <c r="K45" s="38">
        <v>2000000</v>
      </c>
      <c r="L45" s="1" t="s">
        <v>187</v>
      </c>
      <c r="M45" s="1" t="s">
        <v>117</v>
      </c>
    </row>
    <row r="46" spans="2:13" x14ac:dyDescent="0.25">
      <c r="B46" s="1" t="s">
        <v>69</v>
      </c>
      <c r="C46" s="1" t="s">
        <v>161</v>
      </c>
      <c r="D46" s="3">
        <v>45883</v>
      </c>
      <c r="E46" s="31" t="str">
        <f>TEXT(Pinjaman[[#This Row],[Tanggal Pinjaman]],"yyy-mm")</f>
        <v>2025-08</v>
      </c>
      <c r="F46" s="38">
        <v>2000000</v>
      </c>
      <c r="G46" s="5">
        <f>IFERROR(IF(B46="","",SUMIFS(Cicilan[Jumlah Cicilan],Cicilan[ID],B46,Cicilan[Status],"Clear")),"")</f>
        <v>2000000</v>
      </c>
      <c r="H46" s="4" t="str">
        <f t="shared" si="2"/>
        <v>Lunas</v>
      </c>
      <c r="I46" s="5">
        <f t="shared" si="3"/>
        <v>0</v>
      </c>
      <c r="J46" s="19">
        <v>4</v>
      </c>
      <c r="K46" s="38">
        <f>F46/J46</f>
        <v>500000</v>
      </c>
      <c r="L46" s="1" t="s">
        <v>187</v>
      </c>
      <c r="M46" s="1" t="s">
        <v>68</v>
      </c>
    </row>
    <row r="47" spans="2:13" x14ac:dyDescent="0.25">
      <c r="B47" s="1" t="s">
        <v>71</v>
      </c>
      <c r="C47" s="1" t="s">
        <v>157</v>
      </c>
      <c r="D47" s="3">
        <v>45901</v>
      </c>
      <c r="E47" s="31" t="str">
        <f>TEXT(Pinjaman[[#This Row],[Tanggal Pinjaman]],"yyy-mm")</f>
        <v>2025-09</v>
      </c>
      <c r="F47" s="38">
        <v>3000000</v>
      </c>
      <c r="G47" s="5">
        <f>IFERROR(IF(B47="","",SUMIFS(Cicilan[Jumlah Cicilan],Cicilan[ID],B47,Cicilan[Status],"Clear")),"")</f>
        <v>3000000</v>
      </c>
      <c r="H47" s="4" t="str">
        <f t="shared" si="2"/>
        <v>Lunas</v>
      </c>
      <c r="I47" s="5">
        <f t="shared" si="3"/>
        <v>0</v>
      </c>
      <c r="J47" s="19">
        <f>I47/K47</f>
        <v>0</v>
      </c>
      <c r="K47" s="38">
        <v>3000000</v>
      </c>
      <c r="L47" s="1" t="s">
        <v>189</v>
      </c>
      <c r="M47" s="1" t="s">
        <v>119</v>
      </c>
    </row>
    <row r="48" spans="2:13" x14ac:dyDescent="0.25">
      <c r="B48" s="1" t="s">
        <v>76</v>
      </c>
      <c r="C48" s="1" t="s">
        <v>166</v>
      </c>
      <c r="D48" s="3">
        <v>45555</v>
      </c>
      <c r="E48" s="31" t="str">
        <f>TEXT(Pinjaman[[#This Row],[Tanggal Pinjaman]],"yyy-mm")</f>
        <v>2024-09</v>
      </c>
      <c r="F48" s="38">
        <v>3000000</v>
      </c>
      <c r="G48" s="5">
        <f>IFERROR(IF(B48="","",SUMIFS(Cicilan[Jumlah Cicilan],Cicilan[ID],B48,Cicilan[Status],"Clear")),"")</f>
        <v>3000000</v>
      </c>
      <c r="H48" s="4" t="str">
        <f t="shared" si="2"/>
        <v>Lunas</v>
      </c>
      <c r="I48" s="5">
        <f t="shared" si="3"/>
        <v>0</v>
      </c>
      <c r="J48" s="22"/>
      <c r="K48" s="38"/>
      <c r="L48" s="1" t="s">
        <v>189</v>
      </c>
      <c r="M48" s="1" t="s">
        <v>68</v>
      </c>
    </row>
    <row r="49" spans="2:13" x14ac:dyDescent="0.25">
      <c r="B49" s="1" t="s">
        <v>77</v>
      </c>
      <c r="C49" s="1" t="s">
        <v>166</v>
      </c>
      <c r="D49" s="3">
        <v>45720</v>
      </c>
      <c r="E49" s="31" t="str">
        <f>TEXT(Pinjaman[[#This Row],[Tanggal Pinjaman]],"yyy-mm")</f>
        <v>2025-03</v>
      </c>
      <c r="F49" s="38">
        <v>3000000</v>
      </c>
      <c r="G49" s="5">
        <f>IFERROR(IF(B49="","",SUMIFS(Cicilan[Jumlah Cicilan],Cicilan[ID],B49,Cicilan[Status],"Clear")),"")</f>
        <v>3000000</v>
      </c>
      <c r="H49" s="4" t="str">
        <f t="shared" si="2"/>
        <v>Lunas</v>
      </c>
      <c r="I49" s="5">
        <f t="shared" si="3"/>
        <v>0</v>
      </c>
      <c r="J49" s="22"/>
      <c r="K49" s="38"/>
      <c r="L49" s="1" t="s">
        <v>189</v>
      </c>
      <c r="M49" s="1" t="s">
        <v>68</v>
      </c>
    </row>
    <row r="50" spans="2:13" x14ac:dyDescent="0.25">
      <c r="B50" s="1" t="s">
        <v>79</v>
      </c>
      <c r="C50" s="1" t="s">
        <v>165</v>
      </c>
      <c r="D50" s="3">
        <v>45902</v>
      </c>
      <c r="E50" s="31" t="str">
        <f>TEXT(Pinjaman[[#This Row],[Tanggal Pinjaman]],"yyy-mm")</f>
        <v>2025-09</v>
      </c>
      <c r="F50" s="38">
        <v>500000</v>
      </c>
      <c r="G50" s="5">
        <f>IFERROR(IF(B50="","",SUMIFS(Cicilan[Jumlah Cicilan],Cicilan[ID],B50,Cicilan[Status],"Clear")),"")</f>
        <v>500000</v>
      </c>
      <c r="H50" s="4" t="str">
        <f t="shared" si="2"/>
        <v>Lunas</v>
      </c>
      <c r="I50" s="5">
        <f t="shared" si="3"/>
        <v>0</v>
      </c>
      <c r="J50" s="23">
        <v>1</v>
      </c>
      <c r="K50" s="38">
        <f>F50/J50</f>
        <v>500000</v>
      </c>
      <c r="L50" s="1" t="s">
        <v>187</v>
      </c>
      <c r="M50" s="1" t="s">
        <v>119</v>
      </c>
    </row>
    <row r="51" spans="2:13" x14ac:dyDescent="0.25">
      <c r="B51" s="1" t="s">
        <v>80</v>
      </c>
      <c r="C51" s="1" t="s">
        <v>167</v>
      </c>
      <c r="D51" s="3">
        <v>45203</v>
      </c>
      <c r="E51" s="31" t="str">
        <f>TEXT(Pinjaman[[#This Row],[Tanggal Pinjaman]],"yyy-mm")</f>
        <v>2023-10</v>
      </c>
      <c r="F51" s="38">
        <v>5000000</v>
      </c>
      <c r="G51" s="5">
        <f>IFERROR(IF(B51="","",SUMIFS(Cicilan[Jumlah Cicilan],Cicilan[ID],B51,Cicilan[Status],"Clear")),"")</f>
        <v>5000000</v>
      </c>
      <c r="H51" s="4" t="str">
        <f t="shared" si="2"/>
        <v>Lunas</v>
      </c>
      <c r="I51" s="5">
        <f t="shared" si="3"/>
        <v>0</v>
      </c>
      <c r="J51" s="23">
        <v>7</v>
      </c>
      <c r="K51" s="38">
        <v>750000</v>
      </c>
      <c r="L51" s="1" t="s">
        <v>187</v>
      </c>
      <c r="M51" s="1" t="s">
        <v>68</v>
      </c>
    </row>
    <row r="52" spans="2:13" x14ac:dyDescent="0.25">
      <c r="B52" s="1" t="s">
        <v>81</v>
      </c>
      <c r="C52" s="1" t="s">
        <v>161</v>
      </c>
      <c r="D52" s="3">
        <v>45621</v>
      </c>
      <c r="E52" s="31" t="str">
        <f>TEXT(Pinjaman[[#This Row],[Tanggal Pinjaman]],"yyy-mm")</f>
        <v>2024-11</v>
      </c>
      <c r="F52" s="38">
        <v>2000000</v>
      </c>
      <c r="G52" s="5">
        <f>IFERROR(IF(B52="","",SUMIFS(Cicilan[Jumlah Cicilan],Cicilan[ID],B52,Cicilan[Status],"Clear")),"")</f>
        <v>2000000</v>
      </c>
      <c r="H52" s="4" t="str">
        <f t="shared" si="2"/>
        <v>Lunas</v>
      </c>
      <c r="I52" s="5">
        <f t="shared" si="3"/>
        <v>0</v>
      </c>
      <c r="J52" s="23">
        <v>4</v>
      </c>
      <c r="K52" s="38">
        <v>500000</v>
      </c>
      <c r="L52" s="1" t="s">
        <v>187</v>
      </c>
      <c r="M52" s="1" t="s">
        <v>68</v>
      </c>
    </row>
    <row r="53" spans="2:13" x14ac:dyDescent="0.25">
      <c r="B53" s="1" t="s">
        <v>82</v>
      </c>
      <c r="C53" s="1" t="s">
        <v>160</v>
      </c>
      <c r="D53" s="3">
        <v>45728</v>
      </c>
      <c r="E53" s="31" t="str">
        <f>TEXT(Pinjaman[[#This Row],[Tanggal Pinjaman]],"yyy-mm")</f>
        <v>2025-03</v>
      </c>
      <c r="F53" s="38">
        <v>2000000</v>
      </c>
      <c r="G53" s="5">
        <f>IFERROR(IF(B53="","",SUMIFS(Cicilan[Jumlah Cicilan],Cicilan[ID],B53,Cicilan[Status],"Clear")),"")</f>
        <v>2000000</v>
      </c>
      <c r="H53" s="4" t="str">
        <f t="shared" si="2"/>
        <v>Lunas</v>
      </c>
      <c r="I53" s="5">
        <f t="shared" si="3"/>
        <v>0</v>
      </c>
      <c r="J53" s="23">
        <v>1</v>
      </c>
      <c r="K53" s="38">
        <v>2000000</v>
      </c>
      <c r="L53" s="1" t="s">
        <v>188</v>
      </c>
      <c r="M53" s="1" t="s">
        <v>118</v>
      </c>
    </row>
    <row r="54" spans="2:13" x14ac:dyDescent="0.25">
      <c r="B54" s="1" t="s">
        <v>83</v>
      </c>
      <c r="C54" s="1" t="s">
        <v>156</v>
      </c>
      <c r="D54" s="3">
        <v>45660</v>
      </c>
      <c r="E54" s="31" t="str">
        <f>TEXT(Pinjaman[[#This Row],[Tanggal Pinjaman]],"yyy-mm")</f>
        <v>2025-01</v>
      </c>
      <c r="F54" s="38">
        <v>3000000</v>
      </c>
      <c r="G54" s="5">
        <f>IFERROR(IF(B54="","",SUMIFS(Cicilan[Jumlah Cicilan],Cicilan[ID],B54,Cicilan[Status],"Clear")),"")</f>
        <v>3000000</v>
      </c>
      <c r="H54" s="4" t="str">
        <f t="shared" si="2"/>
        <v>Lunas</v>
      </c>
      <c r="I54" s="5">
        <f t="shared" si="3"/>
        <v>0</v>
      </c>
      <c r="J54" s="23">
        <v>3</v>
      </c>
      <c r="K54" s="38">
        <v>1000000</v>
      </c>
      <c r="L54" s="1" t="s">
        <v>186</v>
      </c>
      <c r="M54" s="1" t="s">
        <v>117</v>
      </c>
    </row>
    <row r="55" spans="2:13" x14ac:dyDescent="0.25">
      <c r="B55" s="1" t="s">
        <v>84</v>
      </c>
      <c r="C55" s="1" t="s">
        <v>174</v>
      </c>
      <c r="D55" s="3">
        <v>45756</v>
      </c>
      <c r="E55" s="31" t="str">
        <f>TEXT(Pinjaman[[#This Row],[Tanggal Pinjaman]],"yyy-mm")</f>
        <v>2025-04</v>
      </c>
      <c r="F55" s="38">
        <v>1500000</v>
      </c>
      <c r="G55" s="5">
        <f>IFERROR(IF(B55="","",SUMIFS(Cicilan[Jumlah Cicilan],Cicilan[ID],B55,Cicilan[Status],"Clear")),"")</f>
        <v>1500000</v>
      </c>
      <c r="H55" s="4" t="str">
        <f t="shared" si="2"/>
        <v>Lunas</v>
      </c>
      <c r="I55" s="5">
        <f t="shared" si="3"/>
        <v>0</v>
      </c>
      <c r="J55" s="23"/>
      <c r="K55" s="38"/>
      <c r="L55" s="1" t="s">
        <v>187</v>
      </c>
      <c r="M55" s="1" t="s">
        <v>118</v>
      </c>
    </row>
    <row r="56" spans="2:13" x14ac:dyDescent="0.25">
      <c r="B56" s="1" t="s">
        <v>85</v>
      </c>
      <c r="C56" s="1" t="s">
        <v>190</v>
      </c>
      <c r="D56" s="3">
        <v>45663</v>
      </c>
      <c r="E56" s="31" t="str">
        <f>TEXT(Pinjaman[[#This Row],[Tanggal Pinjaman]],"yyy-mm")</f>
        <v>2025-01</v>
      </c>
      <c r="F56" s="38">
        <v>1670246</v>
      </c>
      <c r="G56" s="5">
        <f>IFERROR(IF(B56="","",SUMIFS(Cicilan[Jumlah Cicilan],Cicilan[ID],B56,Cicilan[Status],"Clear")),"")</f>
        <v>1670246</v>
      </c>
      <c r="H56" s="4" t="str">
        <f t="shared" si="2"/>
        <v>Lunas</v>
      </c>
      <c r="I56" s="5">
        <f t="shared" si="3"/>
        <v>0</v>
      </c>
      <c r="J56" s="23"/>
      <c r="K56" s="38"/>
      <c r="L56" s="1" t="s">
        <v>187</v>
      </c>
      <c r="M56" s="1" t="s">
        <v>118</v>
      </c>
    </row>
    <row r="57" spans="2:13" x14ac:dyDescent="0.25">
      <c r="B57" s="1" t="s">
        <v>88</v>
      </c>
      <c r="C57" s="1" t="s">
        <v>173</v>
      </c>
      <c r="D57" s="3">
        <v>45904</v>
      </c>
      <c r="E57" s="31" t="str">
        <f>TEXT(Pinjaman[[#This Row],[Tanggal Pinjaman]],"yyy-mm")</f>
        <v>2025-09</v>
      </c>
      <c r="F57" s="38">
        <v>700000</v>
      </c>
      <c r="G57" s="5">
        <f>IFERROR(IF(B57="","",SUMIFS(Cicilan[Jumlah Cicilan],Cicilan[ID],B57,Cicilan[Status],"Clear")),"")</f>
        <v>700000</v>
      </c>
      <c r="H57" s="4" t="str">
        <f t="shared" si="2"/>
        <v>Lunas</v>
      </c>
      <c r="I57" s="5">
        <f t="shared" si="3"/>
        <v>0</v>
      </c>
      <c r="J57" s="23">
        <v>1</v>
      </c>
      <c r="K57" s="38">
        <v>700000</v>
      </c>
      <c r="L57" s="1" t="s">
        <v>187</v>
      </c>
      <c r="M57" s="1" t="s">
        <v>118</v>
      </c>
    </row>
    <row r="58" spans="2:13" x14ac:dyDescent="0.25">
      <c r="B58" s="1" t="s">
        <v>89</v>
      </c>
      <c r="C58" s="1" t="s">
        <v>175</v>
      </c>
      <c r="D58" s="3">
        <v>45910</v>
      </c>
      <c r="E58" s="31" t="str">
        <f>TEXT(Pinjaman[[#This Row],[Tanggal Pinjaman]],"yyy-mm")</f>
        <v>2025-09</v>
      </c>
      <c r="F58" s="38">
        <v>2000000</v>
      </c>
      <c r="G58" s="5">
        <f>IFERROR(IF(B58="","",SUMIFS(Cicilan[Jumlah Cicilan],Cicilan[ID],B58,Cicilan[Status],"Clear")),"")</f>
        <v>2000000</v>
      </c>
      <c r="H58" s="4" t="str">
        <f t="shared" si="2"/>
        <v>Lunas</v>
      </c>
      <c r="I58" s="5">
        <f t="shared" si="3"/>
        <v>0</v>
      </c>
      <c r="J58" s="23">
        <v>1</v>
      </c>
      <c r="K58" s="38">
        <f>F58/J58</f>
        <v>2000000</v>
      </c>
      <c r="L58" s="1" t="s">
        <v>187</v>
      </c>
      <c r="M58" s="1" t="s">
        <v>118</v>
      </c>
    </row>
    <row r="59" spans="2:13" x14ac:dyDescent="0.25">
      <c r="B59" s="1" t="s">
        <v>90</v>
      </c>
      <c r="C59" s="1" t="s">
        <v>155</v>
      </c>
      <c r="D59" s="3">
        <v>45910</v>
      </c>
      <c r="E59" s="31" t="str">
        <f>TEXT(Pinjaman[[#This Row],[Tanggal Pinjaman]],"yyy-mm")</f>
        <v>2025-09</v>
      </c>
      <c r="F59" s="38">
        <v>1000000</v>
      </c>
      <c r="G59" s="5">
        <f>IFERROR(IF(B59="","",SUMIFS(Cicilan[Jumlah Cicilan],Cicilan[ID],B59,Cicilan[Status],"Clear")),"")</f>
        <v>1000000</v>
      </c>
      <c r="H59" s="4" t="str">
        <f t="shared" si="2"/>
        <v>Lunas</v>
      </c>
      <c r="I59" s="5">
        <f t="shared" si="3"/>
        <v>0</v>
      </c>
      <c r="J59" s="23">
        <v>2</v>
      </c>
      <c r="K59" s="38">
        <f>F59/J59</f>
        <v>500000</v>
      </c>
      <c r="L59" s="1" t="s">
        <v>188</v>
      </c>
      <c r="M59" s="1" t="s">
        <v>147</v>
      </c>
    </row>
    <row r="60" spans="2:13" x14ac:dyDescent="0.25">
      <c r="B60" s="1" t="s">
        <v>91</v>
      </c>
      <c r="C60" s="1" t="s">
        <v>178</v>
      </c>
      <c r="D60" s="3">
        <v>45912</v>
      </c>
      <c r="E60" s="31" t="str">
        <f>TEXT(Pinjaman[[#This Row],[Tanggal Pinjaman]],"yyy-mm")</f>
        <v>2025-09</v>
      </c>
      <c r="F60" s="38">
        <v>5000000</v>
      </c>
      <c r="G60" s="5">
        <f>IFERROR(IF(B60="","",SUMIFS(Cicilan[Jumlah Cicilan],Cicilan[ID],B60,Cicilan[Status],"Clear")),"")</f>
        <v>5000000</v>
      </c>
      <c r="H60" s="4" t="str">
        <f t="shared" si="2"/>
        <v>Lunas</v>
      </c>
      <c r="I60" s="5">
        <f t="shared" si="3"/>
        <v>0</v>
      </c>
      <c r="J60" s="23">
        <v>2</v>
      </c>
      <c r="K60" s="38">
        <f>F60/J60</f>
        <v>2500000</v>
      </c>
      <c r="L60" s="1" t="s">
        <v>187</v>
      </c>
      <c r="M60" s="1" t="s">
        <v>147</v>
      </c>
    </row>
    <row r="61" spans="2:13" x14ac:dyDescent="0.25">
      <c r="B61" s="1" t="s">
        <v>92</v>
      </c>
      <c r="C61" s="1" t="s">
        <v>152</v>
      </c>
      <c r="D61" s="3">
        <v>45912</v>
      </c>
      <c r="E61" s="31" t="str">
        <f>TEXT(Pinjaman[[#This Row],[Tanggal Pinjaman]],"yyy-mm")</f>
        <v>2025-09</v>
      </c>
      <c r="F61" s="38">
        <v>1500000</v>
      </c>
      <c r="G61" s="5">
        <f>IFERROR(IF(B61="","",SUMIFS(Cicilan[Jumlah Cicilan],Cicilan[ID],B61,Cicilan[Status],"Clear")),"")</f>
        <v>1500000</v>
      </c>
      <c r="H61" s="4" t="str">
        <f t="shared" si="2"/>
        <v>Lunas</v>
      </c>
      <c r="I61" s="5">
        <f t="shared" si="3"/>
        <v>0</v>
      </c>
      <c r="J61" s="23">
        <v>3</v>
      </c>
      <c r="K61" s="38">
        <f>F61/J61</f>
        <v>500000</v>
      </c>
      <c r="L61" s="1" t="s">
        <v>187</v>
      </c>
      <c r="M61" s="1" t="s">
        <v>147</v>
      </c>
    </row>
    <row r="62" spans="2:13" x14ac:dyDescent="0.25">
      <c r="B62" s="1" t="s">
        <v>96</v>
      </c>
      <c r="C62" s="1" t="s">
        <v>184</v>
      </c>
      <c r="D62" s="3">
        <v>45919</v>
      </c>
      <c r="E62" s="31" t="str">
        <f>TEXT(Pinjaman[[#This Row],[Tanggal Pinjaman]],"yyy-mm")</f>
        <v>2025-09</v>
      </c>
      <c r="F62" s="38">
        <v>15000000</v>
      </c>
      <c r="G62" s="5">
        <f>IFERROR(IF(B62="","",SUMIFS(Cicilan[Jumlah Cicilan],Cicilan[ID],B62,Cicilan[Status],"Clear")),"")</f>
        <v>15000000</v>
      </c>
      <c r="H62" s="5" t="str">
        <f t="shared" si="2"/>
        <v>Lunas</v>
      </c>
      <c r="I62" s="5">
        <f t="shared" si="3"/>
        <v>0</v>
      </c>
      <c r="J62" s="23">
        <v>3</v>
      </c>
      <c r="K62" s="38">
        <f>F62/J62</f>
        <v>5000000</v>
      </c>
      <c r="L62" s="38" t="s">
        <v>187</v>
      </c>
      <c r="M62" s="1" t="s">
        <v>145</v>
      </c>
    </row>
    <row r="63" spans="2:13" x14ac:dyDescent="0.25">
      <c r="B63" s="1" t="s">
        <v>97</v>
      </c>
      <c r="C63" s="1" t="s">
        <v>176</v>
      </c>
      <c r="D63" s="3">
        <v>45919</v>
      </c>
      <c r="E63" s="31" t="str">
        <f>TEXT(Pinjaman[[#This Row],[Tanggal Pinjaman]],"yyy-mm")</f>
        <v>2025-09</v>
      </c>
      <c r="F63" s="38">
        <v>5000000</v>
      </c>
      <c r="G63" s="5">
        <f>IFERROR(IF(B63="","",SUMIFS(Cicilan[Jumlah Cicilan],Cicilan[ID],B63,Cicilan[Status],"Clear")),"")</f>
        <v>5000000</v>
      </c>
      <c r="H63" s="5" t="str">
        <f t="shared" si="2"/>
        <v>Lunas</v>
      </c>
      <c r="I63" s="5">
        <f t="shared" si="3"/>
        <v>0</v>
      </c>
      <c r="J63" s="23">
        <v>3</v>
      </c>
      <c r="K63" s="38">
        <v>1500000</v>
      </c>
      <c r="L63" s="38" t="s">
        <v>187</v>
      </c>
      <c r="M63" s="1" t="s">
        <v>145</v>
      </c>
    </row>
    <row r="64" spans="2:13" x14ac:dyDescent="0.25">
      <c r="B64" s="1" t="s">
        <v>113</v>
      </c>
      <c r="C64" s="1" t="s">
        <v>26</v>
      </c>
      <c r="D64" s="3">
        <v>45920</v>
      </c>
      <c r="E64" s="31" t="str">
        <f>TEXT(Pinjaman[[#This Row],[Tanggal Pinjaman]],"yyy-mm")</f>
        <v>2025-09</v>
      </c>
      <c r="F64" s="38">
        <v>5000000</v>
      </c>
      <c r="G64" s="5">
        <f>IFERROR(IF(B64="","",SUMIFS(Cicilan[Jumlah Cicilan],Cicilan[ID],B64,Cicilan[Status],"Clear")),"")</f>
        <v>5000000</v>
      </c>
      <c r="H64" s="5" t="str">
        <f t="shared" si="2"/>
        <v>Lunas</v>
      </c>
      <c r="I64" s="5">
        <f t="shared" si="3"/>
        <v>0</v>
      </c>
      <c r="J64" s="23">
        <v>2</v>
      </c>
      <c r="K64" s="38">
        <f t="shared" ref="K64:K72" si="4">F64/J64</f>
        <v>2500000</v>
      </c>
      <c r="L64" s="38" t="s">
        <v>189</v>
      </c>
      <c r="M64" s="1" t="s">
        <v>145</v>
      </c>
    </row>
    <row r="65" spans="2:14" x14ac:dyDescent="0.25">
      <c r="B65" s="1" t="s">
        <v>115</v>
      </c>
      <c r="C65" s="1" t="s">
        <v>114</v>
      </c>
      <c r="D65" s="3">
        <v>45924</v>
      </c>
      <c r="E65" s="31" t="str">
        <f>TEXT(Pinjaman[[#This Row],[Tanggal Pinjaman]],"yyy-mm")</f>
        <v>2025-09</v>
      </c>
      <c r="F65" s="38">
        <v>3000000</v>
      </c>
      <c r="G65" s="5">
        <f>IFERROR(IF(B65="","",SUMIFS(Cicilan[Jumlah Cicilan],Cicilan[ID],B65,Cicilan[Status],"Clear")),"")</f>
        <v>3000000</v>
      </c>
      <c r="H65" s="5" t="str">
        <f t="shared" si="2"/>
        <v>Lunas</v>
      </c>
      <c r="I65" s="5">
        <f t="shared" si="3"/>
        <v>0</v>
      </c>
      <c r="J65" s="23">
        <v>3</v>
      </c>
      <c r="K65" s="38">
        <f t="shared" si="4"/>
        <v>1000000</v>
      </c>
      <c r="L65" s="38" t="s">
        <v>187</v>
      </c>
      <c r="M65" s="1" t="s">
        <v>119</v>
      </c>
      <c r="N65" s="1"/>
    </row>
    <row r="66" spans="2:14" x14ac:dyDescent="0.25">
      <c r="B66" s="1" t="s">
        <v>116</v>
      </c>
      <c r="C66" s="1" t="s">
        <v>172</v>
      </c>
      <c r="D66" s="3">
        <v>45924</v>
      </c>
      <c r="E66" s="31" t="str">
        <f>TEXT(Pinjaman[[#This Row],[Tanggal Pinjaman]],"yyy-mm")</f>
        <v>2025-09</v>
      </c>
      <c r="F66" s="38">
        <v>3000000</v>
      </c>
      <c r="G66" s="5">
        <f>IFERROR(IF(B66="","",SUMIFS(Cicilan[Jumlah Cicilan],Cicilan[ID],B66,Cicilan[Status],"Clear")),"")</f>
        <v>3000000</v>
      </c>
      <c r="H66" s="5" t="str">
        <f t="shared" si="2"/>
        <v>Lunas</v>
      </c>
      <c r="I66" s="5">
        <f t="shared" si="3"/>
        <v>0</v>
      </c>
      <c r="J66" s="23">
        <v>3</v>
      </c>
      <c r="K66" s="38">
        <f t="shared" si="4"/>
        <v>1000000</v>
      </c>
      <c r="L66" s="38" t="s">
        <v>187</v>
      </c>
      <c r="M66" s="1" t="s">
        <v>147</v>
      </c>
      <c r="N66" s="1"/>
    </row>
    <row r="67" spans="2:14" x14ac:dyDescent="0.25">
      <c r="B67" s="1" t="s">
        <v>121</v>
      </c>
      <c r="C67" s="1" t="s">
        <v>168</v>
      </c>
      <c r="D67" s="3">
        <v>45926</v>
      </c>
      <c r="E67" s="31" t="str">
        <f>TEXT(Pinjaman[[#This Row],[Tanggal Pinjaman]],"yyy-mm")</f>
        <v>2025-09</v>
      </c>
      <c r="F67" s="38">
        <v>3000000</v>
      </c>
      <c r="G67" s="5">
        <f>IFERROR(IF(B67="","",SUMIFS(Cicilan[Jumlah Cicilan],Cicilan[ID],B67,Cicilan[Status],"Clear")),"")</f>
        <v>3000000</v>
      </c>
      <c r="H67" s="5" t="str">
        <f t="shared" si="2"/>
        <v>Lunas</v>
      </c>
      <c r="I67" s="5">
        <f t="shared" si="3"/>
        <v>0</v>
      </c>
      <c r="J67" s="23">
        <v>3</v>
      </c>
      <c r="K67" s="38">
        <f t="shared" si="4"/>
        <v>1000000</v>
      </c>
      <c r="L67" s="38" t="s">
        <v>187</v>
      </c>
      <c r="M67" s="1" t="s">
        <v>147</v>
      </c>
    </row>
    <row r="68" spans="2:14" x14ac:dyDescent="0.25">
      <c r="B68" s="1" t="s">
        <v>122</v>
      </c>
      <c r="C68" s="1" t="s">
        <v>177</v>
      </c>
      <c r="D68" s="3">
        <v>45926</v>
      </c>
      <c r="E68" s="31" t="str">
        <f>TEXT(Pinjaman[[#This Row],[Tanggal Pinjaman]],"yyy-mm")</f>
        <v>2025-09</v>
      </c>
      <c r="F68" s="38">
        <v>3000000</v>
      </c>
      <c r="G68" s="5">
        <f>IFERROR(IF(B68="","",SUMIFS(Cicilan[Jumlah Cicilan],Cicilan[ID],B68,Cicilan[Status],"Clear")),"")</f>
        <v>3000000</v>
      </c>
      <c r="H68" s="5" t="str">
        <f t="shared" ref="H68:H86" si="5">IF(B68="","",IF(I68=0,"Lunas","Belum Lunas"))</f>
        <v>Lunas</v>
      </c>
      <c r="I68" s="5">
        <f t="shared" ref="I68:I86" si="6">F68-G68</f>
        <v>0</v>
      </c>
      <c r="J68" s="23">
        <v>3</v>
      </c>
      <c r="K68" s="38">
        <f t="shared" si="4"/>
        <v>1000000</v>
      </c>
      <c r="L68" s="38" t="s">
        <v>187</v>
      </c>
      <c r="M68" s="1" t="s">
        <v>118</v>
      </c>
    </row>
    <row r="69" spans="2:14" x14ac:dyDescent="0.25">
      <c r="B69" s="1" t="s">
        <v>128</v>
      </c>
      <c r="C69" s="1" t="s">
        <v>157</v>
      </c>
      <c r="D69" s="3">
        <v>45936</v>
      </c>
      <c r="E69" s="31" t="str">
        <f>TEXT(Pinjaman[[#This Row],[Tanggal Pinjaman]],"yyy-mm")</f>
        <v>2025-10</v>
      </c>
      <c r="F69" s="38">
        <v>3000000</v>
      </c>
      <c r="G69" s="5">
        <f>IFERROR(IF(B69="","",SUMIFS(Cicilan[Jumlah Cicilan],Cicilan[ID],B69,Cicilan[Status],"Clear")),"")</f>
        <v>3000000</v>
      </c>
      <c r="H69" s="5" t="str">
        <f t="shared" si="5"/>
        <v>Lunas</v>
      </c>
      <c r="I69" s="5">
        <f t="shared" si="6"/>
        <v>0</v>
      </c>
      <c r="J69" s="23">
        <v>1</v>
      </c>
      <c r="K69" s="38">
        <f t="shared" si="4"/>
        <v>3000000</v>
      </c>
      <c r="L69" s="38" t="s">
        <v>187</v>
      </c>
      <c r="M69" s="1" t="s">
        <v>119</v>
      </c>
    </row>
    <row r="70" spans="2:14" x14ac:dyDescent="0.25">
      <c r="B70" s="1" t="s">
        <v>129</v>
      </c>
      <c r="C70" s="1" t="s">
        <v>191</v>
      </c>
      <c r="D70" s="3">
        <v>45950</v>
      </c>
      <c r="E70" s="31" t="str">
        <f>TEXT(Pinjaman[[#This Row],[Tanggal Pinjaman]],"yyy-mm")</f>
        <v>2025-10</v>
      </c>
      <c r="F70" s="38">
        <v>1000000</v>
      </c>
      <c r="G70" s="5">
        <f>IFERROR(IF(B70="","",SUMIFS(Cicilan[Jumlah Cicilan],Cicilan[ID],B70,Cicilan[Status],"Clear")),"")</f>
        <v>1000000</v>
      </c>
      <c r="H70" s="5" t="str">
        <f t="shared" si="5"/>
        <v>Lunas</v>
      </c>
      <c r="I70" s="5">
        <f t="shared" si="6"/>
        <v>0</v>
      </c>
      <c r="J70" s="23">
        <v>1</v>
      </c>
      <c r="K70" s="38">
        <f t="shared" si="4"/>
        <v>1000000</v>
      </c>
      <c r="L70" s="38" t="s">
        <v>187</v>
      </c>
      <c r="M70" s="1" t="s">
        <v>117</v>
      </c>
    </row>
    <row r="71" spans="2:14" x14ac:dyDescent="0.25">
      <c r="B71" s="1" t="s">
        <v>139</v>
      </c>
      <c r="C71" s="1" t="s">
        <v>157</v>
      </c>
      <c r="D71" s="3">
        <v>45964</v>
      </c>
      <c r="E71" s="31" t="str">
        <f>TEXT(Pinjaman[[#This Row],[Tanggal Pinjaman]],"yyy-mm")</f>
        <v>2025-11</v>
      </c>
      <c r="F71" s="38">
        <v>3000000</v>
      </c>
      <c r="G71" s="5">
        <f>IFERROR(IF(B71="","",SUMIFS(Cicilan[Jumlah Cicilan],Cicilan[ID],B71,Cicilan[Status],"Clear")),"")</f>
        <v>3000000</v>
      </c>
      <c r="H71" s="5" t="str">
        <f t="shared" si="5"/>
        <v>Lunas</v>
      </c>
      <c r="I71" s="5">
        <f t="shared" si="6"/>
        <v>0</v>
      </c>
      <c r="J71" s="23">
        <v>1</v>
      </c>
      <c r="K71" s="38">
        <f t="shared" si="4"/>
        <v>3000000</v>
      </c>
      <c r="L71" s="11" t="s">
        <v>187</v>
      </c>
      <c r="M71" s="1" t="s">
        <v>119</v>
      </c>
    </row>
    <row r="72" spans="2:14" x14ac:dyDescent="0.25">
      <c r="B72" s="1" t="s">
        <v>143</v>
      </c>
      <c r="C72" s="1" t="s">
        <v>157</v>
      </c>
      <c r="D72" s="3">
        <v>45993</v>
      </c>
      <c r="E72" s="31" t="str">
        <f>TEXT(Pinjaman[[#This Row],[Tanggal Pinjaman]],"yyy-mm")</f>
        <v>2025-12</v>
      </c>
      <c r="F72" s="38">
        <v>3000000</v>
      </c>
      <c r="G72" s="5">
        <f>IFERROR(IF(B72="","",SUMIFS(Cicilan[Jumlah Cicilan],Cicilan[ID],B72,Cicilan[Status],"Clear")),"")</f>
        <v>3000000</v>
      </c>
      <c r="H72" s="5" t="str">
        <f t="shared" si="5"/>
        <v>Lunas</v>
      </c>
      <c r="I72" s="5">
        <f t="shared" si="6"/>
        <v>0</v>
      </c>
      <c r="J72" s="23">
        <v>1</v>
      </c>
      <c r="K72" s="38">
        <f t="shared" si="4"/>
        <v>3000000</v>
      </c>
      <c r="L72" s="11" t="s">
        <v>187</v>
      </c>
      <c r="M72" s="1" t="s">
        <v>119</v>
      </c>
    </row>
    <row r="73" spans="2:14" x14ac:dyDescent="0.25">
      <c r="B73" s="1" t="s">
        <v>21</v>
      </c>
      <c r="C73" s="1" t="s">
        <v>169</v>
      </c>
      <c r="D73" s="3">
        <v>45619</v>
      </c>
      <c r="E73" s="31" t="str">
        <f>TEXT(Pinjaman[[#This Row],[Tanggal Pinjaman]],"yyy-mm")</f>
        <v>2024-11</v>
      </c>
      <c r="F73" s="38">
        <v>11000000</v>
      </c>
      <c r="G73" s="5">
        <f>IFERROR(IF(B73="","",SUMIFS(Cicilan[Jumlah Cicilan],Cicilan[ID],B73,Cicilan[Status],"Clear")),"")</f>
        <v>9750000</v>
      </c>
      <c r="H73" s="4" t="str">
        <f t="shared" si="5"/>
        <v>Belum Lunas</v>
      </c>
      <c r="I73" s="5">
        <f t="shared" si="6"/>
        <v>1250000</v>
      </c>
      <c r="J73" s="19">
        <v>14</v>
      </c>
      <c r="K73" s="38">
        <v>750000</v>
      </c>
      <c r="L73" s="1" t="s">
        <v>186</v>
      </c>
      <c r="M73" s="1" t="s">
        <v>120</v>
      </c>
    </row>
    <row r="74" spans="2:14" x14ac:dyDescent="0.25">
      <c r="B74" s="1" t="s">
        <v>53</v>
      </c>
      <c r="C74" s="1" t="s">
        <v>153</v>
      </c>
      <c r="D74" s="3">
        <v>45880</v>
      </c>
      <c r="E74" s="31" t="str">
        <f>TEXT(Pinjaman[[#This Row],[Tanggal Pinjaman]],"yyy-mm")</f>
        <v>2025-08</v>
      </c>
      <c r="F74" s="38">
        <v>5000000</v>
      </c>
      <c r="G74" s="5">
        <f>IFERROR(IF(B74="","",SUMIFS(Cicilan[Jumlah Cicilan],Cicilan[ID],B74,Cicilan[Status],"Clear")),"")</f>
        <v>4000000</v>
      </c>
      <c r="H74" s="4" t="str">
        <f t="shared" si="5"/>
        <v>Belum Lunas</v>
      </c>
      <c r="I74" s="5">
        <f t="shared" si="6"/>
        <v>1000000</v>
      </c>
      <c r="J74" s="19">
        <f>F74/K74</f>
        <v>5</v>
      </c>
      <c r="K74" s="38">
        <v>1000000</v>
      </c>
      <c r="L74" s="1" t="s">
        <v>187</v>
      </c>
      <c r="M74" s="1" t="s">
        <v>145</v>
      </c>
    </row>
    <row r="75" spans="2:14" x14ac:dyDescent="0.25">
      <c r="B75" s="1" t="s">
        <v>67</v>
      </c>
      <c r="C75" s="1" t="s">
        <v>158</v>
      </c>
      <c r="D75" s="3">
        <v>45895</v>
      </c>
      <c r="E75" s="31" t="str">
        <f>TEXT(Pinjaman[[#This Row],[Tanggal Pinjaman]],"yyy-mm")</f>
        <v>2025-08</v>
      </c>
      <c r="F75" s="38">
        <v>5000000</v>
      </c>
      <c r="G75" s="5">
        <f>IFERROR(IF(B75="","",SUMIFS(Cicilan[Jumlah Cicilan],Cicilan[ID],B75,Cicilan[Status],"Clear")),"")</f>
        <v>1500000</v>
      </c>
      <c r="H75" s="4" t="str">
        <f t="shared" si="5"/>
        <v>Belum Lunas</v>
      </c>
      <c r="I75" s="5">
        <f t="shared" si="6"/>
        <v>3500000</v>
      </c>
      <c r="J75" s="19">
        <v>10</v>
      </c>
      <c r="K75" s="38">
        <f t="shared" ref="K75:K86" si="7">F75/J75</f>
        <v>500000</v>
      </c>
      <c r="L75" s="1" t="s">
        <v>187</v>
      </c>
      <c r="M75" s="1" t="s">
        <v>68</v>
      </c>
    </row>
    <row r="76" spans="2:14" x14ac:dyDescent="0.25">
      <c r="B76" s="1" t="s">
        <v>111</v>
      </c>
      <c r="C76" s="1" t="s">
        <v>162</v>
      </c>
      <c r="D76" s="3">
        <v>45919</v>
      </c>
      <c r="E76" s="31" t="str">
        <f>TEXT(Pinjaman[[#This Row],[Tanggal Pinjaman]],"yyy-mm")</f>
        <v>2025-09</v>
      </c>
      <c r="F76" s="38">
        <v>3000000</v>
      </c>
      <c r="G76" s="5">
        <f>IFERROR(IF(B76="","",SUMIFS(Cicilan[Jumlah Cicilan],Cicilan[ID],B76,Cicilan[Status],"Clear")),"")</f>
        <v>1500000</v>
      </c>
      <c r="H76" s="5" t="str">
        <f t="shared" si="5"/>
        <v>Belum Lunas</v>
      </c>
      <c r="I76" s="5">
        <f t="shared" si="6"/>
        <v>1500000</v>
      </c>
      <c r="J76" s="23">
        <v>6</v>
      </c>
      <c r="K76" s="38">
        <f t="shared" si="7"/>
        <v>500000</v>
      </c>
      <c r="L76" s="38" t="s">
        <v>187</v>
      </c>
      <c r="M76" s="1" t="s">
        <v>148</v>
      </c>
    </row>
    <row r="77" spans="2:14" x14ac:dyDescent="0.25">
      <c r="B77" s="1" t="s">
        <v>127</v>
      </c>
      <c r="C77" s="1" t="s">
        <v>170</v>
      </c>
      <c r="D77" s="3">
        <v>45931</v>
      </c>
      <c r="E77" s="31" t="str">
        <f>TEXT(Pinjaman[[#This Row],[Tanggal Pinjaman]],"yyy-mm")</f>
        <v>2025-10</v>
      </c>
      <c r="F77" s="38">
        <v>3000000</v>
      </c>
      <c r="G77" s="5">
        <f>IFERROR(IF(B77="","",SUMIFS(Cicilan[Jumlah Cicilan],Cicilan[ID],B77,Cicilan[Status],"Clear")),"")</f>
        <v>1000000</v>
      </c>
      <c r="H77" s="5" t="str">
        <f t="shared" si="5"/>
        <v>Belum Lunas</v>
      </c>
      <c r="I77" s="5">
        <f t="shared" si="6"/>
        <v>2000000</v>
      </c>
      <c r="J77" s="23">
        <v>3</v>
      </c>
      <c r="K77" s="38">
        <f t="shared" si="7"/>
        <v>1000000</v>
      </c>
      <c r="L77" s="38" t="s">
        <v>187</v>
      </c>
      <c r="M77" s="1" t="s">
        <v>145</v>
      </c>
    </row>
    <row r="78" spans="2:14" x14ac:dyDescent="0.25">
      <c r="B78" s="1" t="s">
        <v>132</v>
      </c>
      <c r="C78" s="1" t="s">
        <v>165</v>
      </c>
      <c r="D78" s="3">
        <v>45951</v>
      </c>
      <c r="E78" s="31" t="str">
        <f>TEXT(Pinjaman[[#This Row],[Tanggal Pinjaman]],"yyy-mm")</f>
        <v>2025-10</v>
      </c>
      <c r="F78" s="38">
        <v>2000000</v>
      </c>
      <c r="G78" s="5">
        <f>IFERROR(IF(B78="","",SUMIFS(Cicilan[Jumlah Cicilan],Cicilan[ID],B78,Cicilan[Status],"Clear")),"")</f>
        <v>1000000</v>
      </c>
      <c r="H78" s="5" t="str">
        <f t="shared" si="5"/>
        <v>Belum Lunas</v>
      </c>
      <c r="I78" s="5">
        <f t="shared" si="6"/>
        <v>1000000</v>
      </c>
      <c r="J78" s="23">
        <v>4</v>
      </c>
      <c r="K78" s="38">
        <f t="shared" si="7"/>
        <v>500000</v>
      </c>
      <c r="L78" s="11" t="s">
        <v>187</v>
      </c>
      <c r="M78" s="1" t="s">
        <v>119</v>
      </c>
    </row>
    <row r="79" spans="2:14" x14ac:dyDescent="0.25">
      <c r="B79" s="1" t="s">
        <v>134</v>
      </c>
      <c r="C79" s="1" t="s">
        <v>133</v>
      </c>
      <c r="D79" s="3">
        <v>45953</v>
      </c>
      <c r="E79" s="31" t="str">
        <f>TEXT(Pinjaman[[#This Row],[Tanggal Pinjaman]],"yyy-mm")</f>
        <v>2025-10</v>
      </c>
      <c r="F79" s="38">
        <v>4000000</v>
      </c>
      <c r="G79" s="5">
        <f>IFERROR(IF(B79="","",SUMIFS(Cicilan[Jumlah Cicilan],Cicilan[ID],B79,Cicilan[Status],"Clear")),"")</f>
        <v>2000000</v>
      </c>
      <c r="H79" s="5" t="str">
        <f t="shared" si="5"/>
        <v>Belum Lunas</v>
      </c>
      <c r="I79" s="5">
        <f t="shared" si="6"/>
        <v>2000000</v>
      </c>
      <c r="J79" s="23">
        <v>4</v>
      </c>
      <c r="K79" s="38">
        <f t="shared" si="7"/>
        <v>1000000</v>
      </c>
      <c r="L79" s="38" t="s">
        <v>189</v>
      </c>
      <c r="M79" s="1" t="s">
        <v>118</v>
      </c>
    </row>
    <row r="80" spans="2:14" x14ac:dyDescent="0.25">
      <c r="B80" s="1" t="s">
        <v>135</v>
      </c>
      <c r="C80" s="1" t="s">
        <v>154</v>
      </c>
      <c r="D80" s="3">
        <v>45958</v>
      </c>
      <c r="E80" s="31" t="str">
        <f>TEXT(Pinjaman[[#This Row],[Tanggal Pinjaman]],"yyy-mm")</f>
        <v>2025-10</v>
      </c>
      <c r="F80" s="38">
        <v>4000000</v>
      </c>
      <c r="G80" s="5">
        <f>IFERROR(IF(B80="","",SUMIFS(Cicilan[Jumlah Cicilan],Cicilan[ID],B80,Cicilan[Status],"Clear")),"")</f>
        <v>2000000</v>
      </c>
      <c r="H80" s="5" t="str">
        <f t="shared" si="5"/>
        <v>Belum Lunas</v>
      </c>
      <c r="I80" s="5">
        <f t="shared" si="6"/>
        <v>2000000</v>
      </c>
      <c r="J80" s="23">
        <v>2</v>
      </c>
      <c r="K80" s="38">
        <f t="shared" si="7"/>
        <v>2000000</v>
      </c>
      <c r="L80" s="11" t="s">
        <v>187</v>
      </c>
      <c r="M80" s="1" t="s">
        <v>117</v>
      </c>
    </row>
    <row r="81" spans="2:13" x14ac:dyDescent="0.25">
      <c r="B81" s="1" t="s">
        <v>136</v>
      </c>
      <c r="C81" s="1" t="s">
        <v>156</v>
      </c>
      <c r="D81" s="3">
        <v>45958</v>
      </c>
      <c r="E81" s="31" t="str">
        <f>TEXT(Pinjaman[[#This Row],[Tanggal Pinjaman]],"yyy-mm")</f>
        <v>2025-10</v>
      </c>
      <c r="F81" s="38">
        <v>2000000</v>
      </c>
      <c r="G81" s="5">
        <f>IFERROR(IF(B81="","",SUMIFS(Cicilan[Jumlah Cicilan],Cicilan[ID],B81,Cicilan[Status],"Clear")),"")</f>
        <v>1000000</v>
      </c>
      <c r="H81" s="5" t="str">
        <f t="shared" si="5"/>
        <v>Belum Lunas</v>
      </c>
      <c r="I81" s="5">
        <f t="shared" si="6"/>
        <v>1000000</v>
      </c>
      <c r="J81" s="23">
        <v>2</v>
      </c>
      <c r="K81" s="38">
        <f t="shared" si="7"/>
        <v>1000000</v>
      </c>
      <c r="L81" s="11" t="s">
        <v>187</v>
      </c>
      <c r="M81" s="1" t="s">
        <v>117</v>
      </c>
    </row>
    <row r="82" spans="2:13" x14ac:dyDescent="0.25">
      <c r="B82" s="1" t="s">
        <v>137</v>
      </c>
      <c r="C82" s="1" t="s">
        <v>164</v>
      </c>
      <c r="D82" s="3">
        <v>45959</v>
      </c>
      <c r="E82" s="31" t="str">
        <f>TEXT(Pinjaman[[#This Row],[Tanggal Pinjaman]],"yyy-mm")</f>
        <v>2025-10</v>
      </c>
      <c r="F82" s="38">
        <v>1000000</v>
      </c>
      <c r="G82" s="5">
        <f>IFERROR(IF(B82="","",SUMIFS(Cicilan[Jumlah Cicilan],Cicilan[ID],B82,Cicilan[Status],"Clear")),"")</f>
        <v>500000</v>
      </c>
      <c r="H82" s="5" t="str">
        <f t="shared" si="5"/>
        <v>Belum Lunas</v>
      </c>
      <c r="I82" s="5">
        <f t="shared" si="6"/>
        <v>500000</v>
      </c>
      <c r="J82" s="23">
        <v>2</v>
      </c>
      <c r="K82" s="38">
        <f t="shared" si="7"/>
        <v>500000</v>
      </c>
      <c r="L82" s="11" t="s">
        <v>187</v>
      </c>
      <c r="M82" s="1" t="s">
        <v>147</v>
      </c>
    </row>
    <row r="83" spans="2:13" x14ac:dyDescent="0.25">
      <c r="B83" s="1" t="s">
        <v>138</v>
      </c>
      <c r="C83" s="1" t="s">
        <v>171</v>
      </c>
      <c r="D83" s="3">
        <v>45964</v>
      </c>
      <c r="E83" s="31" t="str">
        <f>TEXT(Pinjaman[[#This Row],[Tanggal Pinjaman]],"yyy-mm")</f>
        <v>2025-11</v>
      </c>
      <c r="F83" s="38">
        <v>3000000</v>
      </c>
      <c r="G83" s="5">
        <f>IFERROR(IF(B83="","",SUMIFS(Cicilan[Jumlah Cicilan],Cicilan[ID],B83,Cicilan[Status],"Clear")),"")</f>
        <v>750000</v>
      </c>
      <c r="H83" s="5" t="str">
        <f t="shared" si="5"/>
        <v>Belum Lunas</v>
      </c>
      <c r="I83" s="5">
        <f t="shared" si="6"/>
        <v>2250000</v>
      </c>
      <c r="J83" s="23">
        <v>4</v>
      </c>
      <c r="K83" s="38">
        <f t="shared" si="7"/>
        <v>750000</v>
      </c>
      <c r="L83" s="11" t="s">
        <v>187</v>
      </c>
      <c r="M83" s="1" t="s">
        <v>145</v>
      </c>
    </row>
    <row r="84" spans="2:13" x14ac:dyDescent="0.25">
      <c r="B84" s="1" t="s">
        <v>140</v>
      </c>
      <c r="C84" s="1" t="s">
        <v>163</v>
      </c>
      <c r="D84" s="3">
        <v>45979</v>
      </c>
      <c r="E84" s="31" t="str">
        <f>TEXT(Pinjaman[[#This Row],[Tanggal Pinjaman]],"yyy-mm")</f>
        <v>2025-11</v>
      </c>
      <c r="F84" s="38">
        <v>3000000</v>
      </c>
      <c r="G84" s="5">
        <f>IFERROR(IF(B84="","",SUMIFS(Cicilan[Jumlah Cicilan],Cicilan[ID],B84,Cicilan[Status],"Clear")),"")</f>
        <v>0</v>
      </c>
      <c r="H84" s="5" t="str">
        <f t="shared" si="5"/>
        <v>Belum Lunas</v>
      </c>
      <c r="I84" s="5">
        <f t="shared" si="6"/>
        <v>3000000</v>
      </c>
      <c r="J84" s="23">
        <v>6</v>
      </c>
      <c r="K84" s="38">
        <f t="shared" si="7"/>
        <v>500000</v>
      </c>
      <c r="L84" s="11" t="s">
        <v>187</v>
      </c>
      <c r="M84" s="1" t="s">
        <v>145</v>
      </c>
    </row>
    <row r="85" spans="2:13" x14ac:dyDescent="0.25">
      <c r="B85" s="1" t="s">
        <v>142</v>
      </c>
      <c r="C85" s="1" t="s">
        <v>141</v>
      </c>
      <c r="D85" s="3">
        <v>45979</v>
      </c>
      <c r="E85" s="31" t="str">
        <f>TEXT(Pinjaman[[#This Row],[Tanggal Pinjaman]],"yyy-mm")</f>
        <v>2025-11</v>
      </c>
      <c r="F85" s="38">
        <v>2000000</v>
      </c>
      <c r="G85" s="5">
        <f>IFERROR(IF(B85="","",SUMIFS(Cicilan[Jumlah Cicilan],Cicilan[ID],B85,Cicilan[Status],"Clear")),"")</f>
        <v>1000000</v>
      </c>
      <c r="H85" s="5" t="str">
        <f t="shared" si="5"/>
        <v>Belum Lunas</v>
      </c>
      <c r="I85" s="5">
        <f t="shared" si="6"/>
        <v>1000000</v>
      </c>
      <c r="J85" s="23">
        <v>2</v>
      </c>
      <c r="K85" s="38">
        <f t="shared" si="7"/>
        <v>1000000</v>
      </c>
      <c r="L85" s="11" t="s">
        <v>187</v>
      </c>
      <c r="M85" s="1" t="s">
        <v>118</v>
      </c>
    </row>
    <row r="86" spans="2:13" x14ac:dyDescent="0.25">
      <c r="B86" s="1" t="s">
        <v>144</v>
      </c>
      <c r="C86" s="1" t="s">
        <v>156</v>
      </c>
      <c r="D86" s="3">
        <v>45993</v>
      </c>
      <c r="E86" s="31" t="str">
        <f>TEXT(Pinjaman[[#This Row],[Tanggal Pinjaman]],"yyy-mm")</f>
        <v>2025-12</v>
      </c>
      <c r="F86" s="38">
        <v>2000000</v>
      </c>
      <c r="G86" s="5">
        <f>IFERROR(IF(B86="","",SUMIFS(Cicilan[Jumlah Cicilan],Cicilan[ID],B86,Cicilan[Status],"Clear")),"")</f>
        <v>0</v>
      </c>
      <c r="H86" s="5" t="str">
        <f t="shared" si="5"/>
        <v>Belum Lunas</v>
      </c>
      <c r="I86" s="5">
        <f t="shared" si="6"/>
        <v>2000000</v>
      </c>
      <c r="J86" s="23">
        <v>2</v>
      </c>
      <c r="K86" s="38">
        <f t="shared" si="7"/>
        <v>1000000</v>
      </c>
      <c r="L86" s="11" t="s">
        <v>187</v>
      </c>
      <c r="M86" s="1" t="s">
        <v>117</v>
      </c>
    </row>
    <row r="87" spans="2:13" x14ac:dyDescent="0.25">
      <c r="B87" s="1"/>
      <c r="C87" s="1"/>
      <c r="D87" s="3"/>
      <c r="E87" s="31"/>
      <c r="F87" s="11">
        <f>SUBTOTAL(109,Pinjaman[Jumlah Pinjaman])</f>
        <v>229296630</v>
      </c>
      <c r="G87" s="39">
        <f>SUBTOTAL(109,Pinjaman[Paid Off])</f>
        <v>205296630</v>
      </c>
      <c r="H87" s="39"/>
      <c r="I87" s="39">
        <f>SUBTOTAL(109,Pinjaman[Remaining])</f>
        <v>24000000</v>
      </c>
      <c r="J87" s="22"/>
      <c r="K87" s="11"/>
      <c r="L87" s="11"/>
      <c r="M87" s="1"/>
    </row>
  </sheetData>
  <dataConsolidate/>
  <phoneticPr fontId="2" type="noConversion"/>
  <conditionalFormatting sqref="H4:H86 J4:K86">
    <cfRule type="expression" dxfId="783" priority="3">
      <formula>$H4="Belum Lunas"</formula>
    </cfRule>
  </conditionalFormatting>
  <conditionalFormatting sqref="I4:I86">
    <cfRule type="cellIs" dxfId="782" priority="1" operator="greaterThan">
      <formula>0</formula>
    </cfRule>
  </conditionalFormatting>
  <dataValidations count="1">
    <dataValidation type="list" allowBlank="1" sqref="M4:M86" xr:uid="{791078D8-B099-4450-85FD-5B644D180CF7}">
      <formula1>"RO_SMB, Payroll_SMB, RO_SSL, PPA, SSL, SAP, HO SIPIL"</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2:P215"/>
  <sheetViews>
    <sheetView showGridLines="0" zoomScaleNormal="100" workbookViewId="0">
      <pane xSplit="3" ySplit="3" topLeftCell="D52" activePane="bottomRight" state="frozen"/>
      <selection pane="topRight" activeCell="D1" sqref="D1"/>
      <selection pane="bottomLeft" activeCell="A4" sqref="A4"/>
      <selection pane="bottomRight" activeCell="O61" sqref="O61"/>
    </sheetView>
  </sheetViews>
  <sheetFormatPr defaultRowHeight="15" x14ac:dyDescent="0.25"/>
  <cols>
    <col min="1" max="1" width="2" customWidth="1"/>
    <col min="3" max="3" width="12.140625" customWidth="1"/>
    <col min="4" max="4" width="12.5703125" customWidth="1"/>
    <col min="5" max="5" width="11" customWidth="1"/>
    <col min="6" max="6" width="10.7109375" style="33" customWidth="1"/>
    <col min="7" max="7" width="10.140625" customWidth="1"/>
    <col min="8" max="8" width="12.5703125" customWidth="1"/>
    <col min="9" max="9" width="8.7109375" customWidth="1"/>
    <col min="10" max="10" width="7.5703125" customWidth="1"/>
    <col min="16" max="16" width="10.42578125" customWidth="1"/>
  </cols>
  <sheetData>
    <row r="2" spans="1:16" s="1" customFormat="1" ht="23.25" customHeight="1" x14ac:dyDescent="0.2">
      <c r="B2" s="45" t="s">
        <v>9</v>
      </c>
      <c r="C2" s="45" t="s">
        <v>218</v>
      </c>
      <c r="D2" s="45" t="s">
        <v>199</v>
      </c>
      <c r="E2" s="45" t="s">
        <v>221</v>
      </c>
      <c r="F2" s="46" t="s">
        <v>87</v>
      </c>
      <c r="G2" s="45" t="s">
        <v>206</v>
      </c>
      <c r="H2" s="45" t="s">
        <v>56</v>
      </c>
      <c r="I2" s="45" t="s">
        <v>38</v>
      </c>
      <c r="P2" s="1" t="s">
        <v>109</v>
      </c>
    </row>
    <row r="3" spans="1:16" ht="11.25" customHeight="1" x14ac:dyDescent="0.25">
      <c r="A3" s="24"/>
      <c r="B3" s="25" t="s">
        <v>9</v>
      </c>
      <c r="C3" s="25" t="s">
        <v>0</v>
      </c>
      <c r="D3" s="25" t="s">
        <v>20</v>
      </c>
      <c r="E3" s="25" t="s">
        <v>37</v>
      </c>
      <c r="F3" s="34" t="s">
        <v>87</v>
      </c>
      <c r="G3" s="25" t="s">
        <v>3</v>
      </c>
      <c r="H3" s="25" t="s">
        <v>56</v>
      </c>
      <c r="I3" s="25" t="s">
        <v>38</v>
      </c>
      <c r="P3" t="s">
        <v>107</v>
      </c>
    </row>
    <row r="4" spans="1:16" x14ac:dyDescent="0.25">
      <c r="B4" s="7" t="s">
        <v>76</v>
      </c>
      <c r="C4" s="7" t="str">
        <f>INDEX(Pinjaman[Nama],MATCH(B4,Pinjaman[ID], 0))</f>
        <v>NALDI</v>
      </c>
      <c r="D4" s="7" t="str">
        <f>INDEX(Pinjaman[Cabang],MATCH(B4,Pinjaman[ID], 0))</f>
        <v>HO</v>
      </c>
      <c r="E4" s="8">
        <v>45597</v>
      </c>
      <c r="F4" s="33" t="str">
        <f>TEXT(Cicilan[[#This Row],[Periode Gaji]],"yyy-mm")</f>
        <v>2024-11</v>
      </c>
      <c r="G4" s="10">
        <v>750000</v>
      </c>
      <c r="H4" s="7" t="s">
        <v>98</v>
      </c>
      <c r="I4" s="7" t="s">
        <v>72</v>
      </c>
      <c r="P4" t="s">
        <v>103</v>
      </c>
    </row>
    <row r="5" spans="1:16" x14ac:dyDescent="0.25">
      <c r="B5" s="7" t="s">
        <v>80</v>
      </c>
      <c r="C5" s="7" t="str">
        <f>INDEX(Pinjaman[Nama],MATCH(B5,Pinjaman[ID], 0))</f>
        <v>RONI</v>
      </c>
      <c r="D5" s="7" t="str">
        <f>INDEX(Pinjaman[Cabang],MATCH(B5,Pinjaman[ID], 0))</f>
        <v>HO</v>
      </c>
      <c r="E5" s="8">
        <v>45597</v>
      </c>
      <c r="F5" s="33" t="str">
        <f>TEXT(Cicilan[[#This Row],[Periode Gaji]],"yyy-mm")</f>
        <v>2024-11</v>
      </c>
      <c r="G5" s="10">
        <v>750000</v>
      </c>
      <c r="H5" s="7" t="s">
        <v>98</v>
      </c>
      <c r="I5" s="7" t="s">
        <v>72</v>
      </c>
      <c r="P5" t="s">
        <v>99</v>
      </c>
    </row>
    <row r="6" spans="1:16" x14ac:dyDescent="0.25">
      <c r="B6" s="7" t="s">
        <v>21</v>
      </c>
      <c r="C6" s="7" t="str">
        <f>INDEX(Pinjaman[Nama],MATCH(B6,Pinjaman[ID], 0))</f>
        <v>ALIBA</v>
      </c>
      <c r="D6" s="7" t="str">
        <f>INDEX(Pinjaman[Cabang],MATCH(B6,Pinjaman[ID], 0))</f>
        <v>SIPIL</v>
      </c>
      <c r="E6" s="8">
        <v>45597</v>
      </c>
      <c r="F6" s="33" t="str">
        <f>TEXT(Cicilan[[#This Row],[Periode Gaji]],"yyy-mm")</f>
        <v>2024-11</v>
      </c>
      <c r="G6" s="9">
        <v>750000</v>
      </c>
      <c r="H6" s="7" t="s">
        <v>98</v>
      </c>
      <c r="I6" s="7" t="s">
        <v>72</v>
      </c>
      <c r="P6" t="s">
        <v>101</v>
      </c>
    </row>
    <row r="7" spans="1:16" x14ac:dyDescent="0.25">
      <c r="B7" s="7" t="s">
        <v>76</v>
      </c>
      <c r="C7" s="7" t="str">
        <f>INDEX(Pinjaman[Nama],MATCH(B7,Pinjaman[ID], 0))</f>
        <v>NALDI</v>
      </c>
      <c r="D7" s="7" t="str">
        <f>INDEX(Pinjaman[Cabang],MATCH(B7,Pinjaman[ID], 0))</f>
        <v>HO</v>
      </c>
      <c r="E7" s="8">
        <v>45627</v>
      </c>
      <c r="F7" s="33" t="str">
        <f>TEXT(Cicilan[[#This Row],[Periode Gaji]],"yyy-mm")</f>
        <v>2024-12</v>
      </c>
      <c r="G7" s="10">
        <v>750000</v>
      </c>
      <c r="H7" s="7" t="s">
        <v>99</v>
      </c>
      <c r="I7" s="7" t="s">
        <v>72</v>
      </c>
      <c r="P7" t="s">
        <v>100</v>
      </c>
    </row>
    <row r="8" spans="1:16" x14ac:dyDescent="0.25">
      <c r="B8" s="7" t="s">
        <v>80</v>
      </c>
      <c r="C8" s="7" t="str">
        <f>INDEX(Pinjaman[Nama],MATCH(B8,Pinjaman[ID], 0))</f>
        <v>RONI</v>
      </c>
      <c r="D8" s="7" t="str">
        <f>INDEX(Pinjaman[Cabang],MATCH(B8,Pinjaman[ID], 0))</f>
        <v>HO</v>
      </c>
      <c r="E8" s="8">
        <v>45627</v>
      </c>
      <c r="F8" s="33" t="str">
        <f>TEXT(Cicilan[[#This Row],[Periode Gaji]],"yyy-mm")</f>
        <v>2024-12</v>
      </c>
      <c r="G8" s="10">
        <v>750000</v>
      </c>
      <c r="H8" s="7" t="s">
        <v>99</v>
      </c>
      <c r="I8" s="7" t="s">
        <v>72</v>
      </c>
      <c r="P8" t="s">
        <v>106</v>
      </c>
    </row>
    <row r="9" spans="1:16" x14ac:dyDescent="0.25">
      <c r="B9" s="7" t="s">
        <v>21</v>
      </c>
      <c r="C9" s="7" t="str">
        <f>INDEX(Pinjaman[Nama],MATCH(B9,Pinjaman[ID], 0))</f>
        <v>ALIBA</v>
      </c>
      <c r="D9" s="7" t="str">
        <f>INDEX(Pinjaman[Cabang],MATCH(B9,Pinjaman[ID], 0))</f>
        <v>SIPIL</v>
      </c>
      <c r="E9" s="8">
        <v>45627</v>
      </c>
      <c r="F9" s="33" t="str">
        <f>TEXT(Cicilan[[#This Row],[Periode Gaji]],"yyy-mm")</f>
        <v>2024-12</v>
      </c>
      <c r="G9" s="9">
        <v>750000</v>
      </c>
      <c r="H9" s="7" t="s">
        <v>99</v>
      </c>
      <c r="I9" s="7" t="s">
        <v>72</v>
      </c>
      <c r="P9" t="s">
        <v>105</v>
      </c>
    </row>
    <row r="10" spans="1:16" x14ac:dyDescent="0.25">
      <c r="B10" s="7" t="s">
        <v>83</v>
      </c>
      <c r="C10" s="7" t="str">
        <f>INDEX(Pinjaman[Nama],MATCH(B10,Pinjaman[ID], 0))</f>
        <v>PUTRAKU</v>
      </c>
      <c r="D10" s="7" t="str">
        <f>INDEX(Pinjaman[Cabang],MATCH(B10,Pinjaman[ID], 0))</f>
        <v>PPA</v>
      </c>
      <c r="E10" s="8">
        <v>45658</v>
      </c>
      <c r="F10" s="33" t="str">
        <f>TEXT(Cicilan[[#This Row],[Periode Gaji]],"yyy-mm")</f>
        <v>2025-01</v>
      </c>
      <c r="G10" s="10">
        <v>1000000</v>
      </c>
      <c r="H10" s="7" t="s">
        <v>100</v>
      </c>
      <c r="I10" s="7" t="s">
        <v>72</v>
      </c>
      <c r="P10" t="s">
        <v>102</v>
      </c>
    </row>
    <row r="11" spans="1:16" x14ac:dyDescent="0.25">
      <c r="B11" s="7" t="s">
        <v>85</v>
      </c>
      <c r="C11" s="7" t="str">
        <f>INDEX(Pinjaman[Nama],MATCH(B11,Pinjaman[ID], 0))</f>
        <v>TIARA</v>
      </c>
      <c r="D11" s="7" t="str">
        <f>INDEX(Pinjaman[Cabang],MATCH(B11,Pinjaman[ID], 0))</f>
        <v>SSL</v>
      </c>
      <c r="E11" s="8">
        <v>45658</v>
      </c>
      <c r="F11" s="33" t="str">
        <f>TEXT(Cicilan[[#This Row],[Periode Gaji]],"yyy-mm")</f>
        <v>2025-01</v>
      </c>
      <c r="G11" s="10">
        <v>835000</v>
      </c>
      <c r="H11" s="7" t="s">
        <v>100</v>
      </c>
      <c r="I11" s="7" t="s">
        <v>72</v>
      </c>
      <c r="P11" t="s">
        <v>104</v>
      </c>
    </row>
    <row r="12" spans="1:16" x14ac:dyDescent="0.25">
      <c r="B12" s="7" t="s">
        <v>5</v>
      </c>
      <c r="C12" s="7" t="str">
        <f>INDEX(Pinjaman[Nama],MATCH(B12,Pinjaman[ID], 0))</f>
        <v>HAMAT</v>
      </c>
      <c r="D12" s="7" t="str">
        <f>INDEX(Pinjaman[Cabang],MATCH(B12,Pinjaman[ID], 0))</f>
        <v>Payroll_SMB</v>
      </c>
      <c r="E12" s="8">
        <v>45658</v>
      </c>
      <c r="F12" s="33" t="str">
        <f>TEXT(Cicilan[[#This Row],[Periode Gaji]],"yyy-mm")</f>
        <v>2025-01</v>
      </c>
      <c r="G12" s="47">
        <v>750000</v>
      </c>
      <c r="H12" s="7" t="s">
        <v>100</v>
      </c>
      <c r="I12" s="7" t="s">
        <v>72</v>
      </c>
      <c r="P12" t="s">
        <v>98</v>
      </c>
    </row>
    <row r="13" spans="1:16" x14ac:dyDescent="0.25">
      <c r="B13" s="7" t="s">
        <v>12</v>
      </c>
      <c r="C13" s="7" t="str">
        <f>INDEX(Pinjaman[Nama],MATCH(B13,Pinjaman[ID], 0))</f>
        <v xml:space="preserve">ANA </v>
      </c>
      <c r="D13" s="7" t="str">
        <f>INDEX(Pinjaman[Cabang],MATCH(B13,Pinjaman[ID], 0))</f>
        <v>RO_SMB</v>
      </c>
      <c r="E13" s="8">
        <v>45658</v>
      </c>
      <c r="F13" s="33" t="str">
        <f>TEXT(Cicilan[[#This Row],[Periode Gaji]],"yyy-mm")</f>
        <v>2025-01</v>
      </c>
      <c r="G13" s="47">
        <v>1000000</v>
      </c>
      <c r="H13" s="7" t="s">
        <v>100</v>
      </c>
      <c r="I13" s="7" t="s">
        <v>72</v>
      </c>
      <c r="P13" t="s">
        <v>110</v>
      </c>
    </row>
    <row r="14" spans="1:16" x14ac:dyDescent="0.25">
      <c r="B14" s="7" t="s">
        <v>15</v>
      </c>
      <c r="C14" s="7" t="str">
        <f>INDEX(Pinjaman[Nama],MATCH(B14,Pinjaman[ID], 0))</f>
        <v xml:space="preserve">NATAN </v>
      </c>
      <c r="D14" s="7" t="str">
        <f>INDEX(Pinjaman[Cabang],MATCH(B14,Pinjaman[ID], 0))</f>
        <v>Payroll_SMB</v>
      </c>
      <c r="E14" s="8">
        <v>45658</v>
      </c>
      <c r="F14" s="33" t="str">
        <f>TEXT(Cicilan[[#This Row],[Periode Gaji]],"yyy-mm")</f>
        <v>2025-01</v>
      </c>
      <c r="G14" s="47">
        <v>675000</v>
      </c>
      <c r="H14" s="7" t="s">
        <v>100</v>
      </c>
      <c r="I14" s="7" t="s">
        <v>72</v>
      </c>
      <c r="P14" t="s">
        <v>108</v>
      </c>
    </row>
    <row r="15" spans="1:16" x14ac:dyDescent="0.25">
      <c r="B15" s="7" t="s">
        <v>76</v>
      </c>
      <c r="C15" s="7" t="str">
        <f>INDEX(Pinjaman[Nama],MATCH(B15,Pinjaman[ID], 0))</f>
        <v>NALDI</v>
      </c>
      <c r="D15" s="7" t="str">
        <f>INDEX(Pinjaman[Cabang],MATCH(B15,Pinjaman[ID], 0))</f>
        <v>HO</v>
      </c>
      <c r="E15" s="8">
        <v>45658</v>
      </c>
      <c r="F15" s="33" t="str">
        <f>TEXT(Cicilan[[#This Row],[Periode Gaji]],"yyy-mm")</f>
        <v>2025-01</v>
      </c>
      <c r="G15" s="10">
        <v>750000</v>
      </c>
      <c r="H15" s="7" t="s">
        <v>100</v>
      </c>
      <c r="I15" s="7" t="s">
        <v>72</v>
      </c>
      <c r="P15" t="s">
        <v>25</v>
      </c>
    </row>
    <row r="16" spans="1:16" x14ac:dyDescent="0.25">
      <c r="B16" s="7" t="s">
        <v>80</v>
      </c>
      <c r="C16" s="7" t="str">
        <f>INDEX(Pinjaman[Nama],MATCH(B16,Pinjaman[ID], 0))</f>
        <v>RONI</v>
      </c>
      <c r="D16" s="7" t="str">
        <f>INDEX(Pinjaman[Cabang],MATCH(B16,Pinjaman[ID], 0))</f>
        <v>HO</v>
      </c>
      <c r="E16" s="8">
        <v>45658</v>
      </c>
      <c r="F16" s="33" t="str">
        <f>TEXT(Cicilan[[#This Row],[Periode Gaji]],"yyy-mm")</f>
        <v>2025-01</v>
      </c>
      <c r="G16" s="10">
        <v>750000</v>
      </c>
      <c r="H16" s="7" t="s">
        <v>100</v>
      </c>
      <c r="I16" s="7" t="s">
        <v>72</v>
      </c>
      <c r="P16" t="s">
        <v>93</v>
      </c>
    </row>
    <row r="17" spans="2:16" x14ac:dyDescent="0.25">
      <c r="B17" s="7" t="s">
        <v>81</v>
      </c>
      <c r="C17" s="7" t="str">
        <f>INDEX(Pinjaman[Nama],MATCH(B17,Pinjaman[ID], 0))</f>
        <v>GHANA</v>
      </c>
      <c r="D17" s="7" t="str">
        <f>INDEX(Pinjaman[Cabang],MATCH(B17,Pinjaman[ID], 0))</f>
        <v>HO</v>
      </c>
      <c r="E17" s="8">
        <v>45658</v>
      </c>
      <c r="F17" s="33" t="str">
        <f>TEXT(Cicilan[[#This Row],[Periode Gaji]],"yyy-mm")</f>
        <v>2025-01</v>
      </c>
      <c r="G17" s="10">
        <v>500000</v>
      </c>
      <c r="H17" s="7" t="s">
        <v>100</v>
      </c>
      <c r="I17" s="7" t="s">
        <v>72</v>
      </c>
      <c r="P17" t="s">
        <v>64</v>
      </c>
    </row>
    <row r="18" spans="2:16" x14ac:dyDescent="0.25">
      <c r="B18" s="7" t="s">
        <v>21</v>
      </c>
      <c r="C18" s="7" t="str">
        <f>INDEX(Pinjaman[Nama],MATCH(B18,Pinjaman[ID], 0))</f>
        <v>ALIBA</v>
      </c>
      <c r="D18" s="7" t="str">
        <f>INDEX(Pinjaman[Cabang],MATCH(B18,Pinjaman[ID], 0))</f>
        <v>SIPIL</v>
      </c>
      <c r="E18" s="8">
        <v>45658</v>
      </c>
      <c r="F18" s="33" t="str">
        <f>TEXT(Cicilan[[#This Row],[Periode Gaji]],"yyy-mm")</f>
        <v>2025-01</v>
      </c>
      <c r="G18" s="9">
        <v>750000</v>
      </c>
      <c r="H18" s="7" t="s">
        <v>100</v>
      </c>
      <c r="I18" s="7" t="s">
        <v>72</v>
      </c>
      <c r="P18" t="s">
        <v>65</v>
      </c>
    </row>
    <row r="19" spans="2:16" x14ac:dyDescent="0.25">
      <c r="B19" s="7" t="s">
        <v>16</v>
      </c>
      <c r="C19" s="7" t="str">
        <f>INDEX(Pinjaman[Nama],MATCH(B19,Pinjaman[ID], 0))</f>
        <v>GORDON</v>
      </c>
      <c r="D19" s="7" t="str">
        <f>INDEX(Pinjaman[Cabang],MATCH(B19,Pinjaman[ID], 0))</f>
        <v>PPA</v>
      </c>
      <c r="E19" s="8">
        <v>45689</v>
      </c>
      <c r="F19" s="33" t="str">
        <f>TEXT(Cicilan[[#This Row],[Periode Gaji]],"yyy-mm")</f>
        <v>2025-02</v>
      </c>
      <c r="G19" s="9">
        <v>1000000</v>
      </c>
      <c r="H19" s="7" t="s">
        <v>101</v>
      </c>
      <c r="I19" s="7" t="s">
        <v>72</v>
      </c>
      <c r="P19" t="s">
        <v>62</v>
      </c>
    </row>
    <row r="20" spans="2:16" x14ac:dyDescent="0.25">
      <c r="B20" s="7" t="s">
        <v>83</v>
      </c>
      <c r="C20" s="7" t="str">
        <f>INDEX(Pinjaman[Nama],MATCH(B20,Pinjaman[ID], 0))</f>
        <v>PUTRAKU</v>
      </c>
      <c r="D20" s="7" t="str">
        <f>INDEX(Pinjaman[Cabang],MATCH(B20,Pinjaman[ID], 0))</f>
        <v>PPA</v>
      </c>
      <c r="E20" s="8">
        <v>45689</v>
      </c>
      <c r="F20" s="33" t="str">
        <f>TEXT(Cicilan[[#This Row],[Periode Gaji]],"yyy-mm")</f>
        <v>2025-02</v>
      </c>
      <c r="G20" s="10">
        <v>1000000</v>
      </c>
      <c r="H20" s="7" t="s">
        <v>101</v>
      </c>
      <c r="I20" s="7" t="s">
        <v>72</v>
      </c>
      <c r="P20" t="s">
        <v>63</v>
      </c>
    </row>
    <row r="21" spans="2:16" x14ac:dyDescent="0.25">
      <c r="B21" s="7" t="s">
        <v>85</v>
      </c>
      <c r="C21" s="7" t="str">
        <f>INDEX(Pinjaman[Nama],MATCH(B21,Pinjaman[ID], 0))</f>
        <v>TIARA</v>
      </c>
      <c r="D21" s="7" t="str">
        <f>INDEX(Pinjaman[Cabang],MATCH(B21,Pinjaman[ID], 0))</f>
        <v>SSL</v>
      </c>
      <c r="E21" s="8">
        <v>45689</v>
      </c>
      <c r="F21" s="33" t="str">
        <f>TEXT(Cicilan[[#This Row],[Periode Gaji]],"yyy-mm")</f>
        <v>2025-02</v>
      </c>
      <c r="G21" s="10">
        <v>835246</v>
      </c>
      <c r="H21" s="7" t="s">
        <v>101</v>
      </c>
      <c r="I21" s="7" t="s">
        <v>72</v>
      </c>
      <c r="P21" t="s">
        <v>112</v>
      </c>
    </row>
    <row r="22" spans="2:16" x14ac:dyDescent="0.25">
      <c r="B22" s="7" t="s">
        <v>5</v>
      </c>
      <c r="C22" s="7" t="str">
        <f>INDEX(Pinjaman[Nama],MATCH(B22,Pinjaman[ID], 0))</f>
        <v>HAMAT</v>
      </c>
      <c r="D22" s="7" t="str">
        <f>INDEX(Pinjaman[Cabang],MATCH(B22,Pinjaman[ID], 0))</f>
        <v>Payroll_SMB</v>
      </c>
      <c r="E22" s="8">
        <v>45689</v>
      </c>
      <c r="F22" s="33" t="str">
        <f>TEXT(Cicilan[[#This Row],[Periode Gaji]],"yyy-mm")</f>
        <v>2025-02</v>
      </c>
      <c r="G22" s="47">
        <v>750000</v>
      </c>
      <c r="H22" s="7" t="s">
        <v>101</v>
      </c>
      <c r="I22" s="7" t="s">
        <v>72</v>
      </c>
    </row>
    <row r="23" spans="2:16" x14ac:dyDescent="0.25">
      <c r="B23" s="7" t="s">
        <v>7</v>
      </c>
      <c r="C23" s="7" t="str">
        <f>INDEX(Pinjaman[Nama],MATCH(B23,Pinjaman[ID], 0))</f>
        <v>HAE</v>
      </c>
      <c r="D23" s="7" t="str">
        <f>INDEX(Pinjaman[Cabang],MATCH(B23,Pinjaman[ID], 0))</f>
        <v>RO_SMB</v>
      </c>
      <c r="E23" s="8">
        <v>45689</v>
      </c>
      <c r="F23" s="33" t="str">
        <f>TEXT(Cicilan[[#This Row],[Periode Gaji]],"yyy-mm")</f>
        <v>2025-02</v>
      </c>
      <c r="G23" s="47">
        <v>500000</v>
      </c>
      <c r="H23" s="7" t="s">
        <v>101</v>
      </c>
      <c r="I23" s="7" t="s">
        <v>72</v>
      </c>
    </row>
    <row r="24" spans="2:16" x14ac:dyDescent="0.25">
      <c r="B24" s="7" t="s">
        <v>10</v>
      </c>
      <c r="C24" s="7" t="str">
        <f>INDEX(Pinjaman[Nama],MATCH(B24,Pinjaman[ID], 0))</f>
        <v>NOPI</v>
      </c>
      <c r="D24" s="7" t="str">
        <f>INDEX(Pinjaman[Cabang],MATCH(B24,Pinjaman[ID], 0))</f>
        <v>Payroll_SMB</v>
      </c>
      <c r="E24" s="8">
        <v>45689</v>
      </c>
      <c r="F24" s="33" t="str">
        <f>TEXT(Cicilan[[#This Row],[Periode Gaji]],"yyy-mm")</f>
        <v>2025-02</v>
      </c>
      <c r="G24" s="47">
        <v>500000</v>
      </c>
      <c r="H24" s="7" t="s">
        <v>101</v>
      </c>
      <c r="I24" s="7" t="s">
        <v>72</v>
      </c>
    </row>
    <row r="25" spans="2:16" x14ac:dyDescent="0.25">
      <c r="B25" s="7" t="s">
        <v>13</v>
      </c>
      <c r="C25" s="7" t="str">
        <f>INDEX(Pinjaman[Nama],MATCH(B25,Pinjaman[ID], 0))</f>
        <v xml:space="preserve">ANA </v>
      </c>
      <c r="D25" s="7" t="str">
        <f>INDEX(Pinjaman[Cabang],MATCH(B25,Pinjaman[ID], 0))</f>
        <v>RO_SMB</v>
      </c>
      <c r="E25" s="8">
        <v>45689</v>
      </c>
      <c r="F25" s="33" t="str">
        <f>TEXT(Cicilan[[#This Row],[Periode Gaji]],"yyy-mm")</f>
        <v>2025-02</v>
      </c>
      <c r="G25" s="47">
        <v>650000</v>
      </c>
      <c r="H25" s="7" t="s">
        <v>101</v>
      </c>
      <c r="I25" s="7" t="s">
        <v>72</v>
      </c>
    </row>
    <row r="26" spans="2:16" x14ac:dyDescent="0.25">
      <c r="B26" s="7" t="s">
        <v>15</v>
      </c>
      <c r="C26" s="7" t="str">
        <f>INDEX(Pinjaman[Nama],MATCH(B26,Pinjaman[ID], 0))</f>
        <v xml:space="preserve">NATAN </v>
      </c>
      <c r="D26" s="7" t="str">
        <f>INDEX(Pinjaman[Cabang],MATCH(B26,Pinjaman[ID], 0))</f>
        <v>Payroll_SMB</v>
      </c>
      <c r="E26" s="8">
        <v>45689</v>
      </c>
      <c r="F26" s="33" t="str">
        <f>TEXT(Cicilan[[#This Row],[Periode Gaji]],"yyy-mm")</f>
        <v>2025-02</v>
      </c>
      <c r="G26" s="47">
        <v>675000</v>
      </c>
      <c r="H26" s="7" t="s">
        <v>101</v>
      </c>
      <c r="I26" s="7" t="s">
        <v>72</v>
      </c>
    </row>
    <row r="27" spans="2:16" x14ac:dyDescent="0.25">
      <c r="B27" s="7" t="s">
        <v>27</v>
      </c>
      <c r="C27" s="7" t="str">
        <f>INDEX(Pinjaman[Nama],MATCH(B27,Pinjaman[ID], 0))</f>
        <v>ISHAQ</v>
      </c>
      <c r="D27" s="7" t="str">
        <f>INDEX(Pinjaman[Cabang],MATCH(B27,Pinjaman[ID], 0))</f>
        <v>Payroll_SMB</v>
      </c>
      <c r="E27" s="8">
        <v>45689</v>
      </c>
      <c r="F27" s="33" t="str">
        <f>TEXT(Cicilan[[#This Row],[Periode Gaji]],"yyy-mm")</f>
        <v>2025-02</v>
      </c>
      <c r="G27" s="47">
        <v>1500000</v>
      </c>
      <c r="H27" s="7" t="s">
        <v>25</v>
      </c>
      <c r="I27" s="7" t="s">
        <v>72</v>
      </c>
    </row>
    <row r="28" spans="2:16" x14ac:dyDescent="0.25">
      <c r="B28" s="7" t="s">
        <v>76</v>
      </c>
      <c r="C28" s="7" t="str">
        <f>INDEX(Pinjaman[Nama],MATCH(B28,Pinjaman[ID], 0))</f>
        <v>NALDI</v>
      </c>
      <c r="D28" s="7" t="str">
        <f>INDEX(Pinjaman[Cabang],MATCH(B28,Pinjaman[ID], 0))</f>
        <v>HO</v>
      </c>
      <c r="E28" s="8">
        <v>45689</v>
      </c>
      <c r="F28" s="33" t="str">
        <f>TEXT(Cicilan[[#This Row],[Periode Gaji]],"yyy-mm")</f>
        <v>2025-02</v>
      </c>
      <c r="G28" s="10">
        <v>750000</v>
      </c>
      <c r="H28" s="7" t="s">
        <v>101</v>
      </c>
      <c r="I28" s="7" t="s">
        <v>72</v>
      </c>
    </row>
    <row r="29" spans="2:16" x14ac:dyDescent="0.25">
      <c r="B29" s="7" t="s">
        <v>80</v>
      </c>
      <c r="C29" s="7" t="str">
        <f>INDEX(Pinjaman[Nama],MATCH(B29,Pinjaman[ID], 0))</f>
        <v>RONI</v>
      </c>
      <c r="D29" s="7" t="str">
        <f>INDEX(Pinjaman[Cabang],MATCH(B29,Pinjaman[ID], 0))</f>
        <v>HO</v>
      </c>
      <c r="E29" s="8">
        <v>45689</v>
      </c>
      <c r="F29" s="33" t="str">
        <f>TEXT(Cicilan[[#This Row],[Periode Gaji]],"yyy-mm")</f>
        <v>2025-02</v>
      </c>
      <c r="G29" s="10">
        <v>750000</v>
      </c>
      <c r="H29" s="7" t="s">
        <v>101</v>
      </c>
      <c r="I29" s="7" t="s">
        <v>72</v>
      </c>
    </row>
    <row r="30" spans="2:16" x14ac:dyDescent="0.25">
      <c r="B30" s="7" t="s">
        <v>81</v>
      </c>
      <c r="C30" s="7" t="str">
        <f>INDEX(Pinjaman[Nama],MATCH(B30,Pinjaman[ID], 0))</f>
        <v>GHANA</v>
      </c>
      <c r="D30" s="7" t="str">
        <f>INDEX(Pinjaman[Cabang],MATCH(B30,Pinjaman[ID], 0))</f>
        <v>HO</v>
      </c>
      <c r="E30" s="8">
        <v>45689</v>
      </c>
      <c r="F30" s="33" t="str">
        <f>TEXT(Cicilan[[#This Row],[Periode Gaji]],"yyy-mm")</f>
        <v>2025-02</v>
      </c>
      <c r="G30" s="10">
        <v>500000</v>
      </c>
      <c r="H30" s="7" t="s">
        <v>101</v>
      </c>
      <c r="I30" s="7" t="s">
        <v>72</v>
      </c>
    </row>
    <row r="31" spans="2:16" x14ac:dyDescent="0.25">
      <c r="B31" s="7" t="s">
        <v>11</v>
      </c>
      <c r="C31" s="7" t="str">
        <f>INDEX(Pinjaman[Nama],MATCH(B31,Pinjaman[ID], 0))</f>
        <v>JANA</v>
      </c>
      <c r="D31" s="7" t="str">
        <f>INDEX(Pinjaman[Cabang],MATCH(B31,Pinjaman[ID], 0))</f>
        <v>RO_SSL</v>
      </c>
      <c r="E31" s="8">
        <v>45689</v>
      </c>
      <c r="F31" s="33" t="str">
        <f>TEXT(Cicilan[[#This Row],[Periode Gaji]],"yyy-mm")</f>
        <v>2025-02</v>
      </c>
      <c r="G31" s="9">
        <v>100000</v>
      </c>
      <c r="H31" s="7" t="s">
        <v>101</v>
      </c>
      <c r="I31" s="7" t="s">
        <v>72</v>
      </c>
    </row>
    <row r="32" spans="2:16" x14ac:dyDescent="0.25">
      <c r="B32" s="7" t="s">
        <v>21</v>
      </c>
      <c r="C32" s="7" t="str">
        <f>INDEX(Pinjaman[Nama],MATCH(B32,Pinjaman[ID], 0))</f>
        <v>ALIBA</v>
      </c>
      <c r="D32" s="7" t="str">
        <f>INDEX(Pinjaman[Cabang],MATCH(B32,Pinjaman[ID], 0))</f>
        <v>SIPIL</v>
      </c>
      <c r="E32" s="8">
        <v>45689</v>
      </c>
      <c r="F32" s="33" t="str">
        <f>TEXT(Cicilan[[#This Row],[Periode Gaji]],"yyy-mm")</f>
        <v>2025-02</v>
      </c>
      <c r="G32" s="9">
        <v>750000</v>
      </c>
      <c r="H32" s="7" t="s">
        <v>101</v>
      </c>
      <c r="I32" s="7" t="s">
        <v>72</v>
      </c>
    </row>
    <row r="33" spans="2:9" x14ac:dyDescent="0.25">
      <c r="B33" s="7" t="s">
        <v>16</v>
      </c>
      <c r="C33" s="7" t="str">
        <f>INDEX(Pinjaman[Nama],MATCH(B33,Pinjaman[ID], 0))</f>
        <v>GORDON</v>
      </c>
      <c r="D33" s="7" t="str">
        <f>INDEX(Pinjaman[Cabang],MATCH(B33,Pinjaman[ID], 0))</f>
        <v>PPA</v>
      </c>
      <c r="E33" s="8">
        <v>45717</v>
      </c>
      <c r="F33" s="33" t="str">
        <f>TEXT(Cicilan[[#This Row],[Periode Gaji]],"yyy-mm")</f>
        <v>2025-03</v>
      </c>
      <c r="G33" s="9">
        <v>1000000</v>
      </c>
      <c r="H33" s="7" t="s">
        <v>102</v>
      </c>
      <c r="I33" s="7" t="s">
        <v>72</v>
      </c>
    </row>
    <row r="34" spans="2:9" x14ac:dyDescent="0.25">
      <c r="B34" s="7" t="s">
        <v>83</v>
      </c>
      <c r="C34" s="7" t="str">
        <f>INDEX(Pinjaman[Nama],MATCH(B34,Pinjaman[ID], 0))</f>
        <v>PUTRAKU</v>
      </c>
      <c r="D34" s="7" t="str">
        <f>INDEX(Pinjaman[Cabang],MATCH(B34,Pinjaman[ID], 0))</f>
        <v>PPA</v>
      </c>
      <c r="E34" s="8">
        <v>45717</v>
      </c>
      <c r="F34" s="33" t="str">
        <f>TEXT(Cicilan[[#This Row],[Periode Gaji]],"yyy-mm")</f>
        <v>2025-03</v>
      </c>
      <c r="G34" s="10">
        <v>1000000</v>
      </c>
      <c r="H34" s="7" t="s">
        <v>102</v>
      </c>
      <c r="I34" s="7" t="s">
        <v>72</v>
      </c>
    </row>
    <row r="35" spans="2:9" x14ac:dyDescent="0.25">
      <c r="B35" s="7" t="s">
        <v>82</v>
      </c>
      <c r="C35" s="7" t="str">
        <f>INDEX(Pinjaman[Nama],MATCH(B35,Pinjaman[ID], 0))</f>
        <v>OMAR</v>
      </c>
      <c r="D35" s="7" t="str">
        <f>INDEX(Pinjaman[Cabang],MATCH(B35,Pinjaman[ID], 0))</f>
        <v>SSL</v>
      </c>
      <c r="E35" s="8">
        <v>45717</v>
      </c>
      <c r="F35" s="33" t="str">
        <f>TEXT(Cicilan[[#This Row],[Periode Gaji]],"yyy-mm")</f>
        <v>2025-03</v>
      </c>
      <c r="G35" s="10">
        <v>2000000</v>
      </c>
      <c r="H35" s="7" t="s">
        <v>102</v>
      </c>
      <c r="I35" s="7" t="s">
        <v>72</v>
      </c>
    </row>
    <row r="36" spans="2:9" x14ac:dyDescent="0.25">
      <c r="B36" s="7" t="s">
        <v>84</v>
      </c>
      <c r="C36" s="7" t="str">
        <f>INDEX(Pinjaman[Nama],MATCH(B36,Pinjaman[ID], 0))</f>
        <v>WAWAN</v>
      </c>
      <c r="D36" s="7" t="str">
        <f>INDEX(Pinjaman[Cabang],MATCH(B36,Pinjaman[ID], 0))</f>
        <v>SSL</v>
      </c>
      <c r="E36" s="8">
        <v>45717</v>
      </c>
      <c r="F36" s="33" t="str">
        <f>TEXT(Cicilan[[#This Row],[Periode Gaji]],"yyy-mm")</f>
        <v>2025-03</v>
      </c>
      <c r="G36" s="10">
        <v>1500000</v>
      </c>
      <c r="H36" s="7" t="s">
        <v>25</v>
      </c>
      <c r="I36" s="7" t="s">
        <v>72</v>
      </c>
    </row>
    <row r="37" spans="2:9" x14ac:dyDescent="0.25">
      <c r="B37" s="7" t="s">
        <v>5</v>
      </c>
      <c r="C37" s="7" t="str">
        <f>INDEX(Pinjaman[Nama],MATCH(B37,Pinjaman[ID], 0))</f>
        <v>HAMAT</v>
      </c>
      <c r="D37" s="7" t="str">
        <f>INDEX(Pinjaman[Cabang],MATCH(B37,Pinjaman[ID], 0))</f>
        <v>Payroll_SMB</v>
      </c>
      <c r="E37" s="8">
        <v>45717</v>
      </c>
      <c r="F37" s="33" t="str">
        <f>TEXT(Cicilan[[#This Row],[Periode Gaji]],"yyy-mm")</f>
        <v>2025-03</v>
      </c>
      <c r="G37" s="47">
        <v>750000</v>
      </c>
      <c r="H37" s="7" t="s">
        <v>102</v>
      </c>
      <c r="I37" s="7" t="s">
        <v>72</v>
      </c>
    </row>
    <row r="38" spans="2:9" x14ac:dyDescent="0.25">
      <c r="B38" s="7" t="s">
        <v>7</v>
      </c>
      <c r="C38" s="7" t="str">
        <f>INDEX(Pinjaman[Nama],MATCH(B38,Pinjaman[ID], 0))</f>
        <v>HAE</v>
      </c>
      <c r="D38" s="7" t="str">
        <f>INDEX(Pinjaman[Cabang],MATCH(B38,Pinjaman[ID], 0))</f>
        <v>RO_SMB</v>
      </c>
      <c r="E38" s="8">
        <v>45717</v>
      </c>
      <c r="F38" s="33" t="str">
        <f>TEXT(Cicilan[[#This Row],[Periode Gaji]],"yyy-mm")</f>
        <v>2025-03</v>
      </c>
      <c r="G38" s="47">
        <v>500000</v>
      </c>
      <c r="H38" s="7" t="s">
        <v>102</v>
      </c>
      <c r="I38" s="7" t="s">
        <v>72</v>
      </c>
    </row>
    <row r="39" spans="2:9" x14ac:dyDescent="0.25">
      <c r="B39" s="7" t="s">
        <v>10</v>
      </c>
      <c r="C39" s="7" t="str">
        <f>INDEX(Pinjaman[Nama],MATCH(B39,Pinjaman[ID], 0))</f>
        <v>NOPI</v>
      </c>
      <c r="D39" s="7" t="str">
        <f>INDEX(Pinjaman[Cabang],MATCH(B39,Pinjaman[ID], 0))</f>
        <v>Payroll_SMB</v>
      </c>
      <c r="E39" s="8">
        <v>45717</v>
      </c>
      <c r="F39" s="33" t="str">
        <f>TEXT(Cicilan[[#This Row],[Periode Gaji]],"yyy-mm")</f>
        <v>2025-03</v>
      </c>
      <c r="G39" s="47">
        <v>500000</v>
      </c>
      <c r="H39" s="7" t="s">
        <v>102</v>
      </c>
      <c r="I39" s="7" t="s">
        <v>72</v>
      </c>
    </row>
    <row r="40" spans="2:9" x14ac:dyDescent="0.25">
      <c r="B40" s="7" t="s">
        <v>13</v>
      </c>
      <c r="C40" s="7" t="str">
        <f>INDEX(Pinjaman[Nama],MATCH(B40,Pinjaman[ID], 0))</f>
        <v xml:space="preserve">ANA </v>
      </c>
      <c r="D40" s="7" t="str">
        <f>INDEX(Pinjaman[Cabang],MATCH(B40,Pinjaman[ID], 0))</f>
        <v>RO_SMB</v>
      </c>
      <c r="E40" s="8">
        <v>45717</v>
      </c>
      <c r="F40" s="33" t="str">
        <f>TEXT(Cicilan[[#This Row],[Periode Gaji]],"yyy-mm")</f>
        <v>2025-03</v>
      </c>
      <c r="G40" s="47">
        <v>650000</v>
      </c>
      <c r="H40" s="7" t="s">
        <v>102</v>
      </c>
      <c r="I40" s="7" t="s">
        <v>72</v>
      </c>
    </row>
    <row r="41" spans="2:9" x14ac:dyDescent="0.25">
      <c r="B41" s="7" t="s">
        <v>15</v>
      </c>
      <c r="C41" s="7" t="str">
        <f>INDEX(Pinjaman[Nama],MATCH(B41,Pinjaman[ID], 0))</f>
        <v xml:space="preserve">NATAN </v>
      </c>
      <c r="D41" s="7" t="str">
        <f>INDEX(Pinjaman[Cabang],MATCH(B41,Pinjaman[ID], 0))</f>
        <v>Payroll_SMB</v>
      </c>
      <c r="E41" s="8">
        <v>45717</v>
      </c>
      <c r="F41" s="33" t="str">
        <f>TEXT(Cicilan[[#This Row],[Periode Gaji]],"yyy-mm")</f>
        <v>2025-03</v>
      </c>
      <c r="G41" s="47">
        <v>675000</v>
      </c>
      <c r="H41" s="7" t="s">
        <v>102</v>
      </c>
      <c r="I41" s="7" t="s">
        <v>72</v>
      </c>
    </row>
    <row r="42" spans="2:9" x14ac:dyDescent="0.25">
      <c r="B42" s="7" t="s">
        <v>22</v>
      </c>
      <c r="C42" s="7" t="str">
        <f>INDEX(Pinjaman[Nama],MATCH(B42,Pinjaman[ID], 0))</f>
        <v>LAFU</v>
      </c>
      <c r="D42" s="7" t="str">
        <f>INDEX(Pinjaman[Cabang],MATCH(B42,Pinjaman[ID], 0))</f>
        <v>RO_SMB</v>
      </c>
      <c r="E42" s="8">
        <v>45717</v>
      </c>
      <c r="F42" s="33" t="str">
        <f>TEXT(Cicilan[[#This Row],[Periode Gaji]],"yyy-mm")</f>
        <v>2025-03</v>
      </c>
      <c r="G42" s="47">
        <v>500000</v>
      </c>
      <c r="H42" s="7" t="s">
        <v>102</v>
      </c>
      <c r="I42" s="7" t="s">
        <v>72</v>
      </c>
    </row>
    <row r="43" spans="2:9" x14ac:dyDescent="0.25">
      <c r="B43" s="7" t="s">
        <v>77</v>
      </c>
      <c r="C43" s="7" t="str">
        <f>INDEX(Pinjaman[Nama],MATCH(B43,Pinjaman[ID], 0))</f>
        <v>NALDI</v>
      </c>
      <c r="D43" s="7" t="str">
        <f>INDEX(Pinjaman[Cabang],MATCH(B43,Pinjaman[ID], 0))</f>
        <v>HO</v>
      </c>
      <c r="E43" s="8">
        <v>45717</v>
      </c>
      <c r="F43" s="33" t="str">
        <f>TEXT(Cicilan[[#This Row],[Periode Gaji]],"yyy-mm")</f>
        <v>2025-03</v>
      </c>
      <c r="G43" s="10">
        <v>750000</v>
      </c>
      <c r="H43" s="7" t="s">
        <v>102</v>
      </c>
      <c r="I43" s="7" t="s">
        <v>72</v>
      </c>
    </row>
    <row r="44" spans="2:9" x14ac:dyDescent="0.25">
      <c r="B44" s="7" t="s">
        <v>80</v>
      </c>
      <c r="C44" s="7" t="str">
        <f>INDEX(Pinjaman[Nama],MATCH(B44,Pinjaman[ID], 0))</f>
        <v>RONI</v>
      </c>
      <c r="D44" s="7" t="str">
        <f>INDEX(Pinjaman[Cabang],MATCH(B44,Pinjaman[ID], 0))</f>
        <v>HO</v>
      </c>
      <c r="E44" s="8">
        <v>45717</v>
      </c>
      <c r="F44" s="33" t="str">
        <f>TEXT(Cicilan[[#This Row],[Periode Gaji]],"yyy-mm")</f>
        <v>2025-03</v>
      </c>
      <c r="G44" s="10">
        <v>750000</v>
      </c>
      <c r="H44" s="7" t="s">
        <v>102</v>
      </c>
      <c r="I44" s="7" t="s">
        <v>72</v>
      </c>
    </row>
    <row r="45" spans="2:9" x14ac:dyDescent="0.25">
      <c r="B45" s="7" t="s">
        <v>81</v>
      </c>
      <c r="C45" s="7" t="str">
        <f>INDEX(Pinjaman[Nama],MATCH(B45,Pinjaman[ID], 0))</f>
        <v>GHANA</v>
      </c>
      <c r="D45" s="7" t="str">
        <f>INDEX(Pinjaman[Cabang],MATCH(B45,Pinjaman[ID], 0))</f>
        <v>HO</v>
      </c>
      <c r="E45" s="8">
        <v>45717</v>
      </c>
      <c r="F45" s="33" t="str">
        <f>TEXT(Cicilan[[#This Row],[Periode Gaji]],"yyy-mm")</f>
        <v>2025-03</v>
      </c>
      <c r="G45" s="10">
        <v>500000</v>
      </c>
      <c r="H45" s="7" t="s">
        <v>102</v>
      </c>
      <c r="I45" s="7" t="s">
        <v>72</v>
      </c>
    </row>
    <row r="46" spans="2:9" x14ac:dyDescent="0.25">
      <c r="B46" s="7" t="s">
        <v>11</v>
      </c>
      <c r="C46" s="7" t="str">
        <f>INDEX(Pinjaman[Nama],MATCH(B46,Pinjaman[ID], 0))</f>
        <v>JANA</v>
      </c>
      <c r="D46" s="7" t="str">
        <f>INDEX(Pinjaman[Cabang],MATCH(B46,Pinjaman[ID], 0))</f>
        <v>RO_SSL</v>
      </c>
      <c r="E46" s="8">
        <v>45717</v>
      </c>
      <c r="F46" s="33" t="str">
        <f>TEXT(Cicilan[[#This Row],[Periode Gaji]],"yyy-mm")</f>
        <v>2025-03</v>
      </c>
      <c r="G46" s="9">
        <v>100000</v>
      </c>
      <c r="H46" s="7" t="s">
        <v>102</v>
      </c>
      <c r="I46" s="7" t="s">
        <v>72</v>
      </c>
    </row>
    <row r="47" spans="2:9" x14ac:dyDescent="0.25">
      <c r="B47" s="7" t="s">
        <v>21</v>
      </c>
      <c r="C47" s="7" t="str">
        <f>INDEX(Pinjaman[Nama],MATCH(B47,Pinjaman[ID], 0))</f>
        <v>ALIBA</v>
      </c>
      <c r="D47" s="7" t="str">
        <f>INDEX(Pinjaman[Cabang],MATCH(B47,Pinjaman[ID], 0))</f>
        <v>SIPIL</v>
      </c>
      <c r="E47" s="8">
        <v>45717</v>
      </c>
      <c r="F47" s="33" t="str">
        <f>TEXT(Cicilan[[#This Row],[Periode Gaji]],"yyy-mm")</f>
        <v>2025-03</v>
      </c>
      <c r="G47" s="9">
        <v>750000</v>
      </c>
      <c r="H47" s="7" t="s">
        <v>102</v>
      </c>
      <c r="I47" s="7" t="s">
        <v>72</v>
      </c>
    </row>
    <row r="48" spans="2:9" x14ac:dyDescent="0.25">
      <c r="B48" s="7" t="s">
        <v>5</v>
      </c>
      <c r="C48" s="7" t="str">
        <f>INDEX(Pinjaman[Nama],MATCH(B48,Pinjaman[ID], 0))</f>
        <v>HAMAT</v>
      </c>
      <c r="D48" s="7" t="str">
        <f>INDEX(Pinjaman[Cabang],MATCH(B48,Pinjaman[ID], 0))</f>
        <v>Payroll_SMB</v>
      </c>
      <c r="E48" s="8">
        <v>45748</v>
      </c>
      <c r="F48" s="33" t="str">
        <f>TEXT(Cicilan[[#This Row],[Periode Gaji]],"yyy-mm")</f>
        <v>2025-04</v>
      </c>
      <c r="G48" s="47">
        <v>750000</v>
      </c>
      <c r="H48" s="7" t="s">
        <v>103</v>
      </c>
      <c r="I48" s="7" t="s">
        <v>72</v>
      </c>
    </row>
    <row r="49" spans="2:9" x14ac:dyDescent="0.25">
      <c r="B49" s="7" t="s">
        <v>7</v>
      </c>
      <c r="C49" s="7" t="str">
        <f>INDEX(Pinjaman[Nama],MATCH(B49,Pinjaman[ID], 0))</f>
        <v>HAE</v>
      </c>
      <c r="D49" s="7" t="str">
        <f>INDEX(Pinjaman[Cabang],MATCH(B49,Pinjaman[ID], 0))</f>
        <v>RO_SMB</v>
      </c>
      <c r="E49" s="8">
        <v>45748</v>
      </c>
      <c r="F49" s="33" t="str">
        <f>TEXT(Cicilan[[#This Row],[Periode Gaji]],"yyy-mm")</f>
        <v>2025-04</v>
      </c>
      <c r="G49" s="47">
        <v>500000</v>
      </c>
      <c r="H49" s="7" t="s">
        <v>103</v>
      </c>
      <c r="I49" s="7" t="s">
        <v>72</v>
      </c>
    </row>
    <row r="50" spans="2:9" x14ac:dyDescent="0.25">
      <c r="B50" s="7" t="s">
        <v>10</v>
      </c>
      <c r="C50" s="7" t="str">
        <f>INDEX(Pinjaman[Nama],MATCH(B50,Pinjaman[ID], 0))</f>
        <v>NOPI</v>
      </c>
      <c r="D50" s="7" t="str">
        <f>INDEX(Pinjaman[Cabang],MATCH(B50,Pinjaman[ID], 0))</f>
        <v>Payroll_SMB</v>
      </c>
      <c r="E50" s="8">
        <v>45748</v>
      </c>
      <c r="F50" s="33" t="str">
        <f>TEXT(Cicilan[[#This Row],[Periode Gaji]],"yyy-mm")</f>
        <v>2025-04</v>
      </c>
      <c r="G50" s="47">
        <v>500000</v>
      </c>
      <c r="H50" s="7" t="s">
        <v>103</v>
      </c>
      <c r="I50" s="7" t="s">
        <v>72</v>
      </c>
    </row>
    <row r="51" spans="2:9" x14ac:dyDescent="0.25">
      <c r="B51" s="7" t="s">
        <v>13</v>
      </c>
      <c r="C51" s="7" t="str">
        <f>INDEX(Pinjaman[Nama],MATCH(B51,Pinjaman[ID], 0))</f>
        <v xml:space="preserve">ANA </v>
      </c>
      <c r="D51" s="7" t="str">
        <f>INDEX(Pinjaman[Cabang],MATCH(B51,Pinjaman[ID], 0))</f>
        <v>RO_SMB</v>
      </c>
      <c r="E51" s="8">
        <v>45748</v>
      </c>
      <c r="F51" s="33" t="str">
        <f>TEXT(Cicilan[[#This Row],[Periode Gaji]],"yyy-mm")</f>
        <v>2025-04</v>
      </c>
      <c r="G51" s="47">
        <v>700000</v>
      </c>
      <c r="H51" s="7" t="s">
        <v>103</v>
      </c>
      <c r="I51" s="7" t="s">
        <v>72</v>
      </c>
    </row>
    <row r="52" spans="2:9" x14ac:dyDescent="0.25">
      <c r="B52" s="7" t="s">
        <v>15</v>
      </c>
      <c r="C52" s="7" t="str">
        <f>INDEX(Pinjaman[Nama],MATCH(B52,Pinjaman[ID], 0))</f>
        <v xml:space="preserve">NATAN </v>
      </c>
      <c r="D52" s="7" t="str">
        <f>INDEX(Pinjaman[Cabang],MATCH(B52,Pinjaman[ID], 0))</f>
        <v>Payroll_SMB</v>
      </c>
      <c r="E52" s="8">
        <v>45748</v>
      </c>
      <c r="F52" s="33" t="str">
        <f>TEXT(Cicilan[[#This Row],[Periode Gaji]],"yyy-mm")</f>
        <v>2025-04</v>
      </c>
      <c r="G52" s="47">
        <v>675000</v>
      </c>
      <c r="H52" s="7" t="s">
        <v>103</v>
      </c>
      <c r="I52" s="7" t="s">
        <v>72</v>
      </c>
    </row>
    <row r="53" spans="2:9" x14ac:dyDescent="0.25">
      <c r="B53" s="7" t="s">
        <v>23</v>
      </c>
      <c r="C53" s="7" t="str">
        <f>INDEX(Pinjaman[Nama],MATCH(B53,Pinjaman[ID], 0))</f>
        <v>KASIH</v>
      </c>
      <c r="D53" s="7" t="str">
        <f>INDEX(Pinjaman[Cabang],MATCH(B53,Pinjaman[ID], 0))</f>
        <v>Payroll_SMB</v>
      </c>
      <c r="E53" s="8">
        <v>45748</v>
      </c>
      <c r="F53" s="33" t="str">
        <f>TEXT(Cicilan[[#This Row],[Periode Gaji]],"yyy-mm")</f>
        <v>2025-04</v>
      </c>
      <c r="G53" s="47">
        <v>1000000</v>
      </c>
      <c r="H53" s="7" t="s">
        <v>103</v>
      </c>
      <c r="I53" s="7" t="s">
        <v>72</v>
      </c>
    </row>
    <row r="54" spans="2:9" x14ac:dyDescent="0.25">
      <c r="B54" s="7" t="s">
        <v>24</v>
      </c>
      <c r="C54" s="7" t="str">
        <f>INDEX(Pinjaman[Nama],MATCH(B54,Pinjaman[ID], 0))</f>
        <v>KASIH</v>
      </c>
      <c r="D54" s="7" t="str">
        <f>INDEX(Pinjaman[Cabang],MATCH(B54,Pinjaman[ID], 0))</f>
        <v>Payroll_SMB</v>
      </c>
      <c r="E54" s="8">
        <v>45748</v>
      </c>
      <c r="F54" s="33" t="str">
        <f>TEXT(Cicilan[[#This Row],[Periode Gaji]],"yyy-mm")</f>
        <v>2025-04</v>
      </c>
      <c r="G54" s="47">
        <v>2500000</v>
      </c>
      <c r="H54" s="7" t="s">
        <v>25</v>
      </c>
      <c r="I54" s="7" t="s">
        <v>72</v>
      </c>
    </row>
    <row r="55" spans="2:9" x14ac:dyDescent="0.25">
      <c r="B55" s="7" t="s">
        <v>28</v>
      </c>
      <c r="C55" s="7" t="str">
        <f>INDEX(Pinjaman[Nama],MATCH(B55,Pinjaman[ID], 0))</f>
        <v>ISHAQ</v>
      </c>
      <c r="D55" s="7" t="str">
        <f>INDEX(Pinjaman[Cabang],MATCH(B55,Pinjaman[ID], 0))</f>
        <v>Payroll_SMB</v>
      </c>
      <c r="E55" s="8">
        <v>45748</v>
      </c>
      <c r="F55" s="33" t="str">
        <f>TEXT(Cicilan[[#This Row],[Periode Gaji]],"yyy-mm")</f>
        <v>2025-04</v>
      </c>
      <c r="G55" s="47">
        <v>1000000</v>
      </c>
      <c r="H55" s="7" t="s">
        <v>103</v>
      </c>
      <c r="I55" s="7" t="s">
        <v>72</v>
      </c>
    </row>
    <row r="56" spans="2:9" x14ac:dyDescent="0.25">
      <c r="B56" s="7" t="s">
        <v>30</v>
      </c>
      <c r="C56" s="7" t="str">
        <f>INDEX(Pinjaman[Nama],MATCH(B56,Pinjaman[ID], 0))</f>
        <v>AMANAH</v>
      </c>
      <c r="D56" s="7" t="str">
        <f>INDEX(Pinjaman[Cabang],MATCH(B56,Pinjaman[ID], 0))</f>
        <v>RO_SMB</v>
      </c>
      <c r="E56" s="8">
        <v>45748</v>
      </c>
      <c r="F56" s="33" t="str">
        <f>TEXT(Cicilan[[#This Row],[Periode Gaji]],"yyy-mm")</f>
        <v>2025-04</v>
      </c>
      <c r="G56" s="47">
        <v>500000</v>
      </c>
      <c r="H56" s="7" t="s">
        <v>103</v>
      </c>
      <c r="I56" s="7" t="s">
        <v>72</v>
      </c>
    </row>
    <row r="57" spans="2:9" x14ac:dyDescent="0.25">
      <c r="B57" s="7" t="s">
        <v>77</v>
      </c>
      <c r="C57" s="7" t="str">
        <f>INDEX(Pinjaman[Nama],MATCH(B57,Pinjaman[ID], 0))</f>
        <v>NALDI</v>
      </c>
      <c r="D57" s="7" t="str">
        <f>INDEX(Pinjaman[Cabang],MATCH(B57,Pinjaman[ID], 0))</f>
        <v>HO</v>
      </c>
      <c r="E57" s="8">
        <v>45748</v>
      </c>
      <c r="F57" s="33" t="str">
        <f>TEXT(Cicilan[[#This Row],[Periode Gaji]],"yyy-mm")</f>
        <v>2025-04</v>
      </c>
      <c r="G57" s="10">
        <v>750000</v>
      </c>
      <c r="H57" s="7" t="s">
        <v>103</v>
      </c>
      <c r="I57" s="7" t="s">
        <v>72</v>
      </c>
    </row>
    <row r="58" spans="2:9" x14ac:dyDescent="0.25">
      <c r="B58" s="7" t="s">
        <v>80</v>
      </c>
      <c r="C58" s="7" t="str">
        <f>INDEX(Pinjaman[Nama],MATCH(B58,Pinjaman[ID], 0))</f>
        <v>RONI</v>
      </c>
      <c r="D58" s="7" t="str">
        <f>INDEX(Pinjaman[Cabang],MATCH(B58,Pinjaman[ID], 0))</f>
        <v>HO</v>
      </c>
      <c r="E58" s="8">
        <v>45748</v>
      </c>
      <c r="F58" s="33" t="str">
        <f>TEXT(Cicilan[[#This Row],[Periode Gaji]],"yyy-mm")</f>
        <v>2025-04</v>
      </c>
      <c r="G58" s="10">
        <v>750000</v>
      </c>
      <c r="H58" s="7" t="s">
        <v>103</v>
      </c>
      <c r="I58" s="7" t="s">
        <v>72</v>
      </c>
    </row>
    <row r="59" spans="2:9" x14ac:dyDescent="0.25">
      <c r="B59" s="7" t="s">
        <v>81</v>
      </c>
      <c r="C59" s="7" t="str">
        <f>INDEX(Pinjaman[Nama],MATCH(B59,Pinjaman[ID], 0))</f>
        <v>GHANA</v>
      </c>
      <c r="D59" s="7" t="str">
        <f>INDEX(Pinjaman[Cabang],MATCH(B59,Pinjaman[ID], 0))</f>
        <v>HO</v>
      </c>
      <c r="E59" s="8">
        <v>45748</v>
      </c>
      <c r="F59" s="33" t="str">
        <f>TEXT(Cicilan[[#This Row],[Periode Gaji]],"yyy-mm")</f>
        <v>2025-04</v>
      </c>
      <c r="G59" s="10">
        <v>500000</v>
      </c>
      <c r="H59" s="7" t="s">
        <v>103</v>
      </c>
      <c r="I59" s="7" t="s">
        <v>72</v>
      </c>
    </row>
    <row r="60" spans="2:9" x14ac:dyDescent="0.25">
      <c r="B60" s="7" t="s">
        <v>11</v>
      </c>
      <c r="C60" s="7" t="str">
        <f>INDEX(Pinjaman[Nama],MATCH(B60,Pinjaman[ID], 0))</f>
        <v>JANA</v>
      </c>
      <c r="D60" s="7" t="str">
        <f>INDEX(Pinjaman[Cabang],MATCH(B60,Pinjaman[ID], 0))</f>
        <v>RO_SSL</v>
      </c>
      <c r="E60" s="8">
        <v>45748</v>
      </c>
      <c r="F60" s="33" t="str">
        <f>TEXT(Cicilan[[#This Row],[Periode Gaji]],"yyy-mm")</f>
        <v>2025-04</v>
      </c>
      <c r="G60" s="9">
        <v>100000</v>
      </c>
      <c r="H60" s="7" t="s">
        <v>103</v>
      </c>
      <c r="I60" s="7" t="s">
        <v>72</v>
      </c>
    </row>
    <row r="61" spans="2:9" x14ac:dyDescent="0.25">
      <c r="B61" s="7" t="s">
        <v>21</v>
      </c>
      <c r="C61" s="7" t="str">
        <f>INDEX(Pinjaman[Nama],MATCH(B61,Pinjaman[ID], 0))</f>
        <v>ALIBA</v>
      </c>
      <c r="D61" s="7" t="str">
        <f>INDEX(Pinjaman[Cabang],MATCH(B61,Pinjaman[ID], 0))</f>
        <v>SIPIL</v>
      </c>
      <c r="E61" s="8">
        <v>45748</v>
      </c>
      <c r="F61" s="33" t="str">
        <f>TEXT(Cicilan[[#This Row],[Periode Gaji]],"yyy-mm")</f>
        <v>2025-04</v>
      </c>
      <c r="G61" s="9">
        <v>750000</v>
      </c>
      <c r="H61" s="7" t="s">
        <v>103</v>
      </c>
      <c r="I61" s="7" t="s">
        <v>72</v>
      </c>
    </row>
    <row r="62" spans="2:9" x14ac:dyDescent="0.25">
      <c r="B62" s="7" t="s">
        <v>17</v>
      </c>
      <c r="C62" s="7" t="str">
        <f>INDEX(Pinjaman[Nama],MATCH(B62,Pinjaman[ID], 0))</f>
        <v>GORDON</v>
      </c>
      <c r="D62" s="7" t="str">
        <f>INDEX(Pinjaman[Cabang],MATCH(B62,Pinjaman[ID], 0))</f>
        <v>PPA</v>
      </c>
      <c r="E62" s="8">
        <v>45778</v>
      </c>
      <c r="F62" s="33" t="str">
        <f>TEXT(Cicilan[[#This Row],[Periode Gaji]],"yyy-mm")</f>
        <v>2025-05</v>
      </c>
      <c r="G62" s="9">
        <v>1000000</v>
      </c>
      <c r="H62" s="7" t="s">
        <v>104</v>
      </c>
      <c r="I62" s="7" t="s">
        <v>72</v>
      </c>
    </row>
    <row r="63" spans="2:9" x14ac:dyDescent="0.25">
      <c r="B63" s="7" t="s">
        <v>40</v>
      </c>
      <c r="C63" s="7" t="str">
        <f>INDEX(Pinjaman[Nama],MATCH(B63,Pinjaman[ID], 0))</f>
        <v>PUTRAKU</v>
      </c>
      <c r="D63" s="7" t="str">
        <f>INDEX(Pinjaman[Cabang],MATCH(B63,Pinjaman[ID], 0))</f>
        <v>PPA</v>
      </c>
      <c r="E63" s="8">
        <v>45778</v>
      </c>
      <c r="F63" s="33" t="str">
        <f>TEXT(Cicilan[[#This Row],[Periode Gaji]],"yyy-mm")</f>
        <v>2025-05</v>
      </c>
      <c r="G63" s="9">
        <v>2605000</v>
      </c>
      <c r="H63" s="7" t="s">
        <v>104</v>
      </c>
      <c r="I63" s="7" t="s">
        <v>72</v>
      </c>
    </row>
    <row r="64" spans="2:9" x14ac:dyDescent="0.25">
      <c r="B64" s="7" t="s">
        <v>34</v>
      </c>
      <c r="C64" s="7" t="str">
        <f>INDEX(Pinjaman[Nama],MATCH(B64,Pinjaman[ID], 0))</f>
        <v>LANIA</v>
      </c>
      <c r="D64" s="7" t="str">
        <f>INDEX(Pinjaman[Cabang],MATCH(B64,Pinjaman[ID], 0))</f>
        <v>SSL</v>
      </c>
      <c r="E64" s="8">
        <v>45778</v>
      </c>
      <c r="F64" s="33" t="str">
        <f>TEXT(Cicilan[[#This Row],[Periode Gaji]],"yyy-mm")</f>
        <v>2025-05</v>
      </c>
      <c r="G64" s="9">
        <v>1000000</v>
      </c>
      <c r="H64" s="7" t="s">
        <v>64</v>
      </c>
      <c r="I64" s="7" t="s">
        <v>72</v>
      </c>
    </row>
    <row r="65" spans="2:9" x14ac:dyDescent="0.25">
      <c r="B65" s="7" t="s">
        <v>41</v>
      </c>
      <c r="C65" s="7" t="str">
        <f>INDEX(Pinjaman[Nama],MATCH(B65,Pinjaman[ID], 0))</f>
        <v>WAHONO</v>
      </c>
      <c r="D65" s="7" t="str">
        <f>INDEX(Pinjaman[Cabang],MATCH(B65,Pinjaman[ID], 0))</f>
        <v>SSL</v>
      </c>
      <c r="E65" s="8">
        <v>45778</v>
      </c>
      <c r="F65" s="33" t="str">
        <f>TEXT(Cicilan[[#This Row],[Periode Gaji]],"yyy-mm")</f>
        <v>2025-05</v>
      </c>
      <c r="G65" s="9">
        <v>846284</v>
      </c>
      <c r="H65" s="7" t="s">
        <v>104</v>
      </c>
      <c r="I65" s="7" t="s">
        <v>72</v>
      </c>
    </row>
    <row r="66" spans="2:9" x14ac:dyDescent="0.25">
      <c r="B66" s="7" t="s">
        <v>6</v>
      </c>
      <c r="C66" s="7" t="str">
        <f>INDEX(Pinjaman[Nama],MATCH(B66,Pinjaman[ID], 0))</f>
        <v>HAMAT</v>
      </c>
      <c r="D66" s="7" t="str">
        <f>INDEX(Pinjaman[Cabang],MATCH(B66,Pinjaman[ID], 0))</f>
        <v>Payroll_SMB</v>
      </c>
      <c r="E66" s="8">
        <v>45778</v>
      </c>
      <c r="F66" s="33" t="str">
        <f>TEXT(Cicilan[[#This Row],[Periode Gaji]],"yyy-mm")</f>
        <v>2025-05</v>
      </c>
      <c r="G66" s="47">
        <v>750000</v>
      </c>
      <c r="H66" s="7" t="s">
        <v>104</v>
      </c>
      <c r="I66" s="7" t="s">
        <v>72</v>
      </c>
    </row>
    <row r="67" spans="2:9" x14ac:dyDescent="0.25">
      <c r="B67" s="7" t="s">
        <v>8</v>
      </c>
      <c r="C67" s="7" t="str">
        <f>INDEX(Pinjaman[Nama],MATCH(B67,Pinjaman[ID], 0))</f>
        <v>HAE</v>
      </c>
      <c r="D67" s="7" t="str">
        <f>INDEX(Pinjaman[Cabang],MATCH(B67,Pinjaman[ID], 0))</f>
        <v>RO_SMB</v>
      </c>
      <c r="E67" s="8">
        <v>45778</v>
      </c>
      <c r="F67" s="33" t="str">
        <f>TEXT(Cicilan[[#This Row],[Periode Gaji]],"yyy-mm")</f>
        <v>2025-05</v>
      </c>
      <c r="G67" s="47">
        <v>500000</v>
      </c>
      <c r="H67" s="7" t="s">
        <v>104</v>
      </c>
      <c r="I67" s="7" t="s">
        <v>72</v>
      </c>
    </row>
    <row r="68" spans="2:9" x14ac:dyDescent="0.25">
      <c r="B68" s="7" t="s">
        <v>10</v>
      </c>
      <c r="C68" s="7" t="str">
        <f>INDEX(Pinjaman[Nama],MATCH(B68,Pinjaman[ID], 0))</f>
        <v>NOPI</v>
      </c>
      <c r="D68" s="7" t="str">
        <f>INDEX(Pinjaman[Cabang],MATCH(B68,Pinjaman[ID], 0))</f>
        <v>Payroll_SMB</v>
      </c>
      <c r="E68" s="8">
        <v>45778</v>
      </c>
      <c r="F68" s="33" t="str">
        <f>TEXT(Cicilan[[#This Row],[Periode Gaji]],"yyy-mm")</f>
        <v>2025-05</v>
      </c>
      <c r="G68" s="47">
        <v>500000</v>
      </c>
      <c r="H68" s="7" t="s">
        <v>104</v>
      </c>
      <c r="I68" s="7" t="s">
        <v>72</v>
      </c>
    </row>
    <row r="69" spans="2:9" x14ac:dyDescent="0.25">
      <c r="B69" s="7" t="s">
        <v>14</v>
      </c>
      <c r="C69" s="7" t="str">
        <f>INDEX(Pinjaman[Nama],MATCH(B69,Pinjaman[ID], 0))</f>
        <v xml:space="preserve">ANA </v>
      </c>
      <c r="D69" s="7" t="str">
        <f>INDEX(Pinjaman[Cabang],MATCH(B69,Pinjaman[ID], 0))</f>
        <v>RO_SMB</v>
      </c>
      <c r="E69" s="8">
        <v>45778</v>
      </c>
      <c r="F69" s="33" t="str">
        <f>TEXT(Cicilan[[#This Row],[Periode Gaji]],"yyy-mm")</f>
        <v>2025-05</v>
      </c>
      <c r="G69" s="47">
        <v>500000</v>
      </c>
      <c r="H69" s="7" t="s">
        <v>104</v>
      </c>
      <c r="I69" s="7" t="s">
        <v>72</v>
      </c>
    </row>
    <row r="70" spans="2:9" x14ac:dyDescent="0.25">
      <c r="B70" s="7" t="s">
        <v>15</v>
      </c>
      <c r="C70" s="7" t="str">
        <f>INDEX(Pinjaman[Nama],MATCH(B70,Pinjaman[ID], 0))</f>
        <v xml:space="preserve">NATAN </v>
      </c>
      <c r="D70" s="7" t="str">
        <f>INDEX(Pinjaman[Cabang],MATCH(B70,Pinjaman[ID], 0))</f>
        <v>Payroll_SMB</v>
      </c>
      <c r="E70" s="8">
        <v>45778</v>
      </c>
      <c r="F70" s="33" t="str">
        <f>TEXT(Cicilan[[#This Row],[Periode Gaji]],"yyy-mm")</f>
        <v>2025-05</v>
      </c>
      <c r="G70" s="47">
        <v>675000</v>
      </c>
      <c r="H70" s="7" t="s">
        <v>104</v>
      </c>
      <c r="I70" s="7" t="s">
        <v>72</v>
      </c>
    </row>
    <row r="71" spans="2:9" x14ac:dyDescent="0.25">
      <c r="B71" s="7" t="s">
        <v>23</v>
      </c>
      <c r="C71" s="7" t="str">
        <f>INDEX(Pinjaman[Nama],MATCH(B71,Pinjaman[ID], 0))</f>
        <v>KASIH</v>
      </c>
      <c r="D71" s="7" t="str">
        <f>INDEX(Pinjaman[Cabang],MATCH(B71,Pinjaman[ID], 0))</f>
        <v>Payroll_SMB</v>
      </c>
      <c r="E71" s="8">
        <v>45778</v>
      </c>
      <c r="F71" s="33" t="str">
        <f>TEXT(Cicilan[[#This Row],[Periode Gaji]],"yyy-mm")</f>
        <v>2025-05</v>
      </c>
      <c r="G71" s="47">
        <v>1000000</v>
      </c>
      <c r="H71" s="7" t="s">
        <v>104</v>
      </c>
      <c r="I71" s="7" t="s">
        <v>72</v>
      </c>
    </row>
    <row r="72" spans="2:9" x14ac:dyDescent="0.25">
      <c r="B72" s="7" t="s">
        <v>28</v>
      </c>
      <c r="C72" s="7" t="str">
        <f>INDEX(Pinjaman[Nama],MATCH(B72,Pinjaman[ID], 0))</f>
        <v>ISHAQ</v>
      </c>
      <c r="D72" s="7" t="str">
        <f>INDEX(Pinjaman[Cabang],MATCH(B72,Pinjaman[ID], 0))</f>
        <v>Payroll_SMB</v>
      </c>
      <c r="E72" s="8">
        <v>45778</v>
      </c>
      <c r="F72" s="33" t="str">
        <f>TEXT(Cicilan[[#This Row],[Periode Gaji]],"yyy-mm")</f>
        <v>2025-05</v>
      </c>
      <c r="G72" s="47">
        <v>1000000</v>
      </c>
      <c r="H72" s="7" t="s">
        <v>104</v>
      </c>
      <c r="I72" s="7" t="s">
        <v>72</v>
      </c>
    </row>
    <row r="73" spans="2:9" x14ac:dyDescent="0.25">
      <c r="B73" s="7" t="s">
        <v>30</v>
      </c>
      <c r="C73" s="7" t="str">
        <f>INDEX(Pinjaman[Nama],MATCH(B73,Pinjaman[ID], 0))</f>
        <v>AMANAH</v>
      </c>
      <c r="D73" s="7" t="str">
        <f>INDEX(Pinjaman[Cabang],MATCH(B73,Pinjaman[ID], 0))</f>
        <v>RO_SMB</v>
      </c>
      <c r="E73" s="8">
        <v>45778</v>
      </c>
      <c r="F73" s="33" t="str">
        <f>TEXT(Cicilan[[#This Row],[Periode Gaji]],"yyy-mm")</f>
        <v>2025-05</v>
      </c>
      <c r="G73" s="47">
        <v>500000</v>
      </c>
      <c r="H73" s="7" t="s">
        <v>104</v>
      </c>
      <c r="I73" s="7" t="s">
        <v>72</v>
      </c>
    </row>
    <row r="74" spans="2:9" x14ac:dyDescent="0.25">
      <c r="B74" s="7" t="s">
        <v>31</v>
      </c>
      <c r="C74" s="7" t="str">
        <f>INDEX(Pinjaman[Nama],MATCH(B74,Pinjaman[ID], 0))</f>
        <v>MUJIONO</v>
      </c>
      <c r="D74" s="7" t="str">
        <f>INDEX(Pinjaman[Cabang],MATCH(B74,Pinjaman[ID], 0))</f>
        <v>RO_SMB</v>
      </c>
      <c r="E74" s="8">
        <v>45778</v>
      </c>
      <c r="F74" s="33" t="str">
        <f>TEXT(Cicilan[[#This Row],[Periode Gaji]],"yyy-mm")</f>
        <v>2025-05</v>
      </c>
      <c r="G74" s="47">
        <v>650000</v>
      </c>
      <c r="H74" s="7" t="s">
        <v>104</v>
      </c>
      <c r="I74" s="7" t="s">
        <v>72</v>
      </c>
    </row>
    <row r="75" spans="2:9" x14ac:dyDescent="0.25">
      <c r="B75" s="7" t="s">
        <v>32</v>
      </c>
      <c r="C75" s="7" t="str">
        <f>INDEX(Pinjaman[Nama],MATCH(B75,Pinjaman[ID], 0))</f>
        <v>ANTI HAE</v>
      </c>
      <c r="D75" s="7" t="str">
        <f>INDEX(Pinjaman[Cabang],MATCH(B75,Pinjaman[ID], 0))</f>
        <v>RO_SMB</v>
      </c>
      <c r="E75" s="8">
        <v>45778</v>
      </c>
      <c r="F75" s="33" t="str">
        <f>TEXT(Cicilan[[#This Row],[Periode Gaji]],"yyy-mm")</f>
        <v>2025-05</v>
      </c>
      <c r="G75" s="47">
        <v>500000</v>
      </c>
      <c r="H75" s="7" t="s">
        <v>104</v>
      </c>
      <c r="I75" s="7" t="s">
        <v>72</v>
      </c>
    </row>
    <row r="76" spans="2:9" x14ac:dyDescent="0.25">
      <c r="B76" s="7" t="s">
        <v>33</v>
      </c>
      <c r="C76" s="7" t="str">
        <f>INDEX(Pinjaman[Nama],MATCH(B76,Pinjaman[ID], 0))</f>
        <v xml:space="preserve">JAWANA </v>
      </c>
      <c r="D76" s="7" t="str">
        <f>INDEX(Pinjaman[Cabang],MATCH(B76,Pinjaman[ID], 0))</f>
        <v>Payroll_SMB</v>
      </c>
      <c r="E76" s="8">
        <v>45778</v>
      </c>
      <c r="F76" s="33" t="str">
        <f>TEXT(Cicilan[[#This Row],[Periode Gaji]],"yyy-mm")</f>
        <v>2025-05</v>
      </c>
      <c r="G76" s="47">
        <v>1000000</v>
      </c>
      <c r="H76" s="7" t="s">
        <v>104</v>
      </c>
      <c r="I76" s="7" t="s">
        <v>72</v>
      </c>
    </row>
    <row r="77" spans="2:9" x14ac:dyDescent="0.25">
      <c r="B77" s="7" t="s">
        <v>77</v>
      </c>
      <c r="C77" s="7" t="str">
        <f>INDEX(Pinjaman[Nama],MATCH(B77,Pinjaman[ID], 0))</f>
        <v>NALDI</v>
      </c>
      <c r="D77" s="7" t="str">
        <f>INDEX(Pinjaman[Cabang],MATCH(B77,Pinjaman[ID], 0))</f>
        <v>HO</v>
      </c>
      <c r="E77" s="8">
        <v>45778</v>
      </c>
      <c r="F77" s="33" t="str">
        <f>TEXT(Cicilan[[#This Row],[Periode Gaji]],"yyy-mm")</f>
        <v>2025-05</v>
      </c>
      <c r="G77" s="10">
        <v>750000</v>
      </c>
      <c r="H77" s="7" t="s">
        <v>104</v>
      </c>
      <c r="I77" s="7" t="s">
        <v>72</v>
      </c>
    </row>
    <row r="78" spans="2:9" x14ac:dyDescent="0.25">
      <c r="B78" s="7" t="s">
        <v>80</v>
      </c>
      <c r="C78" s="7" t="str">
        <f>INDEX(Pinjaman[Nama],MATCH(B78,Pinjaman[ID], 0))</f>
        <v>RONI</v>
      </c>
      <c r="D78" s="7" t="str">
        <f>INDEX(Pinjaman[Cabang],MATCH(B78,Pinjaman[ID], 0))</f>
        <v>HO</v>
      </c>
      <c r="E78" s="8">
        <v>45778</v>
      </c>
      <c r="F78" s="33" t="str">
        <f>TEXT(Cicilan[[#This Row],[Periode Gaji]],"yyy-mm")</f>
        <v>2025-05</v>
      </c>
      <c r="G78" s="10">
        <v>500000</v>
      </c>
      <c r="H78" s="7" t="s">
        <v>104</v>
      </c>
      <c r="I78" s="7" t="s">
        <v>72</v>
      </c>
    </row>
    <row r="79" spans="2:9" x14ac:dyDescent="0.25">
      <c r="B79" s="7" t="s">
        <v>11</v>
      </c>
      <c r="C79" s="7" t="str">
        <f>INDEX(Pinjaman[Nama],MATCH(B79,Pinjaman[ID], 0))</f>
        <v>JANA</v>
      </c>
      <c r="D79" s="7" t="str">
        <f>INDEX(Pinjaman[Cabang],MATCH(B79,Pinjaman[ID], 0))</f>
        <v>RO_SSL</v>
      </c>
      <c r="E79" s="8">
        <v>45778</v>
      </c>
      <c r="F79" s="33" t="str">
        <f>TEXT(Cicilan[[#This Row],[Periode Gaji]],"yyy-mm")</f>
        <v>2025-05</v>
      </c>
      <c r="G79" s="9">
        <v>100000</v>
      </c>
      <c r="H79" s="7" t="s">
        <v>104</v>
      </c>
      <c r="I79" s="7" t="s">
        <v>72</v>
      </c>
    </row>
    <row r="80" spans="2:9" x14ac:dyDescent="0.25">
      <c r="B80" s="7" t="s">
        <v>21</v>
      </c>
      <c r="C80" s="7" t="str">
        <f>INDEX(Pinjaman[Nama],MATCH(B80,Pinjaman[ID], 0))</f>
        <v>ALIBA</v>
      </c>
      <c r="D80" s="7" t="str">
        <f>INDEX(Pinjaman[Cabang],MATCH(B80,Pinjaman[ID], 0))</f>
        <v>SIPIL</v>
      </c>
      <c r="E80" s="8">
        <v>45778</v>
      </c>
      <c r="F80" s="33" t="str">
        <f>TEXT(Cicilan[[#This Row],[Periode Gaji]],"yyy-mm")</f>
        <v>2025-05</v>
      </c>
      <c r="G80" s="9">
        <v>750000</v>
      </c>
      <c r="H80" s="7" t="s">
        <v>104</v>
      </c>
      <c r="I80" s="7" t="s">
        <v>72</v>
      </c>
    </row>
    <row r="81" spans="2:9" x14ac:dyDescent="0.25">
      <c r="B81" s="7" t="s">
        <v>17</v>
      </c>
      <c r="C81" s="7" t="str">
        <f>INDEX(Pinjaman[Nama],MATCH(B81,Pinjaman[ID], 0))</f>
        <v>GORDON</v>
      </c>
      <c r="D81" s="7" t="str">
        <f>INDEX(Pinjaman[Cabang],MATCH(B81,Pinjaman[ID], 0))</f>
        <v>PPA</v>
      </c>
      <c r="E81" s="8">
        <v>45809</v>
      </c>
      <c r="F81" s="33" t="str">
        <f>TEXT(Cicilan[[#This Row],[Periode Gaji]],"yyy-mm")</f>
        <v>2025-06</v>
      </c>
      <c r="G81" s="9">
        <v>334000</v>
      </c>
      <c r="H81" s="7" t="s">
        <v>105</v>
      </c>
      <c r="I81" s="7" t="s">
        <v>72</v>
      </c>
    </row>
    <row r="82" spans="2:9" x14ac:dyDescent="0.25">
      <c r="B82" s="7" t="s">
        <v>18</v>
      </c>
      <c r="C82" s="7" t="str">
        <f>INDEX(Pinjaman[Nama],MATCH(B82,Pinjaman[ID], 0))</f>
        <v>GORDON</v>
      </c>
      <c r="D82" s="7" t="str">
        <f>INDEX(Pinjaman[Cabang],MATCH(B82,Pinjaman[ID], 0))</f>
        <v>PPA</v>
      </c>
      <c r="E82" s="8">
        <v>45809</v>
      </c>
      <c r="F82" s="33" t="str">
        <f>TEXT(Cicilan[[#This Row],[Periode Gaji]],"yyy-mm")</f>
        <v>2025-06</v>
      </c>
      <c r="G82" s="9">
        <v>1500000</v>
      </c>
      <c r="H82" s="7" t="s">
        <v>63</v>
      </c>
      <c r="I82" s="7" t="s">
        <v>72</v>
      </c>
    </row>
    <row r="83" spans="2:9" x14ac:dyDescent="0.25">
      <c r="B83" s="7" t="s">
        <v>51</v>
      </c>
      <c r="C83" s="7" t="str">
        <f>INDEX(Pinjaman[Nama],MATCH(B83,Pinjaman[ID], 0))</f>
        <v>SOLEH</v>
      </c>
      <c r="D83" s="7" t="str">
        <f>INDEX(Pinjaman[Cabang],MATCH(B83,Pinjaman[ID], 0))</f>
        <v>PPA</v>
      </c>
      <c r="E83" s="8">
        <v>45809</v>
      </c>
      <c r="F83" s="33" t="str">
        <f>TEXT(Cicilan[[#This Row],[Periode Gaji]],"yyy-mm")</f>
        <v>2025-06</v>
      </c>
      <c r="G83" s="9">
        <v>2000000</v>
      </c>
      <c r="H83" s="7" t="s">
        <v>63</v>
      </c>
      <c r="I83" s="7" t="s">
        <v>72</v>
      </c>
    </row>
    <row r="84" spans="2:9" x14ac:dyDescent="0.25">
      <c r="B84" s="7" t="s">
        <v>46</v>
      </c>
      <c r="C84" s="7" t="str">
        <f>INDEX(Pinjaman[Nama],MATCH(B84,Pinjaman[ID], 0))</f>
        <v>SETIA</v>
      </c>
      <c r="D84" s="7" t="str">
        <f>INDEX(Pinjaman[Cabang],MATCH(B84,Pinjaman[ID], 0))</f>
        <v>SAP</v>
      </c>
      <c r="E84" s="8">
        <v>45809</v>
      </c>
      <c r="F84" s="33" t="str">
        <f>TEXT(Cicilan[[#This Row],[Periode Gaji]],"yyy-mm")</f>
        <v>2025-06</v>
      </c>
      <c r="G84" s="9">
        <v>500000</v>
      </c>
      <c r="H84" s="7" t="s">
        <v>105</v>
      </c>
      <c r="I84" s="7" t="s">
        <v>72</v>
      </c>
    </row>
    <row r="85" spans="2:9" x14ac:dyDescent="0.25">
      <c r="B85" s="7" t="s">
        <v>50</v>
      </c>
      <c r="C85" s="7" t="str">
        <f>INDEX(Pinjaman[Nama],MATCH(B85,Pinjaman[ID], 0))</f>
        <v>HERRY</v>
      </c>
      <c r="D85" s="7" t="str">
        <f>INDEX(Pinjaman[Cabang],MATCH(B85,Pinjaman[ID], 0))</f>
        <v>SAP</v>
      </c>
      <c r="E85" s="8">
        <v>45809</v>
      </c>
      <c r="F85" s="33" t="str">
        <f>TEXT(Cicilan[[#This Row],[Periode Gaji]],"yyy-mm")</f>
        <v>2025-06</v>
      </c>
      <c r="G85" s="9">
        <v>3500000</v>
      </c>
      <c r="H85" s="7" t="s">
        <v>105</v>
      </c>
      <c r="I85" s="7" t="s">
        <v>72</v>
      </c>
    </row>
    <row r="86" spans="2:9" x14ac:dyDescent="0.25">
      <c r="B86" s="7" t="s">
        <v>6</v>
      </c>
      <c r="C86" s="7" t="str">
        <f>INDEX(Pinjaman[Nama],MATCH(B86,Pinjaman[ID], 0))</f>
        <v>HAMAT</v>
      </c>
      <c r="D86" s="7" t="str">
        <f>INDEX(Pinjaman[Cabang],MATCH(B86,Pinjaman[ID], 0))</f>
        <v>Payroll_SMB</v>
      </c>
      <c r="E86" s="8">
        <v>45809</v>
      </c>
      <c r="F86" s="33" t="str">
        <f>TEXT(Cicilan[[#This Row],[Periode Gaji]],"yyy-mm")</f>
        <v>2025-06</v>
      </c>
      <c r="G86" s="47">
        <v>750000</v>
      </c>
      <c r="H86" s="7" t="s">
        <v>105</v>
      </c>
      <c r="I86" s="7" t="s">
        <v>72</v>
      </c>
    </row>
    <row r="87" spans="2:9" x14ac:dyDescent="0.25">
      <c r="B87" s="7" t="s">
        <v>8</v>
      </c>
      <c r="C87" s="7" t="str">
        <f>INDEX(Pinjaman[Nama],MATCH(B87,Pinjaman[ID], 0))</f>
        <v>HAE</v>
      </c>
      <c r="D87" s="7" t="str">
        <f>INDEX(Pinjaman[Cabang],MATCH(B87,Pinjaman[ID], 0))</f>
        <v>RO_SMB</v>
      </c>
      <c r="E87" s="8">
        <v>45809</v>
      </c>
      <c r="F87" s="33" t="str">
        <f>TEXT(Cicilan[[#This Row],[Periode Gaji]],"yyy-mm")</f>
        <v>2025-06</v>
      </c>
      <c r="G87" s="47">
        <v>500000</v>
      </c>
      <c r="H87" s="7" t="s">
        <v>105</v>
      </c>
      <c r="I87" s="7" t="s">
        <v>72</v>
      </c>
    </row>
    <row r="88" spans="2:9" x14ac:dyDescent="0.25">
      <c r="B88" s="7" t="s">
        <v>10</v>
      </c>
      <c r="C88" s="7" t="str">
        <f>INDEX(Pinjaman[Nama],MATCH(B88,Pinjaman[ID], 0))</f>
        <v>NOPI</v>
      </c>
      <c r="D88" s="7" t="str">
        <f>INDEX(Pinjaman[Cabang],MATCH(B88,Pinjaman[ID], 0))</f>
        <v>Payroll_SMB</v>
      </c>
      <c r="E88" s="8">
        <v>45809</v>
      </c>
      <c r="F88" s="33" t="str">
        <f>TEXT(Cicilan[[#This Row],[Periode Gaji]],"yyy-mm")</f>
        <v>2025-06</v>
      </c>
      <c r="G88" s="47">
        <v>500000</v>
      </c>
      <c r="H88" s="7" t="s">
        <v>105</v>
      </c>
      <c r="I88" s="7" t="s">
        <v>72</v>
      </c>
    </row>
    <row r="89" spans="2:9" x14ac:dyDescent="0.25">
      <c r="B89" s="7" t="s">
        <v>14</v>
      </c>
      <c r="C89" s="7" t="str">
        <f>INDEX(Pinjaman[Nama],MATCH(B89,Pinjaman[ID], 0))</f>
        <v xml:space="preserve">ANA </v>
      </c>
      <c r="D89" s="7" t="str">
        <f>INDEX(Pinjaman[Cabang],MATCH(B89,Pinjaman[ID], 0))</f>
        <v>RO_SMB</v>
      </c>
      <c r="E89" s="8">
        <v>45809</v>
      </c>
      <c r="F89" s="33" t="str">
        <f>TEXT(Cicilan[[#This Row],[Periode Gaji]],"yyy-mm")</f>
        <v>2025-06</v>
      </c>
      <c r="G89" s="47">
        <v>500000</v>
      </c>
      <c r="H89" s="7" t="s">
        <v>63</v>
      </c>
      <c r="I89" s="7" t="s">
        <v>72</v>
      </c>
    </row>
    <row r="90" spans="2:9" x14ac:dyDescent="0.25">
      <c r="B90" s="7" t="s">
        <v>15</v>
      </c>
      <c r="C90" s="7" t="str">
        <f>INDEX(Pinjaman[Nama],MATCH(B90,Pinjaman[ID], 0))</f>
        <v xml:space="preserve">NATAN </v>
      </c>
      <c r="D90" s="7" t="str">
        <f>INDEX(Pinjaman[Cabang],MATCH(B90,Pinjaman[ID], 0))</f>
        <v>Payroll_SMB</v>
      </c>
      <c r="E90" s="8">
        <v>45809</v>
      </c>
      <c r="F90" s="33" t="str">
        <f>TEXT(Cicilan[[#This Row],[Periode Gaji]],"yyy-mm")</f>
        <v>2025-06</v>
      </c>
      <c r="G90" s="47">
        <v>625000</v>
      </c>
      <c r="H90" s="7" t="s">
        <v>105</v>
      </c>
      <c r="I90" s="7" t="s">
        <v>72</v>
      </c>
    </row>
    <row r="91" spans="2:9" x14ac:dyDescent="0.25">
      <c r="B91" s="7" t="s">
        <v>23</v>
      </c>
      <c r="C91" s="7" t="str">
        <f>INDEX(Pinjaman[Nama],MATCH(B91,Pinjaman[ID], 0))</f>
        <v>KASIH</v>
      </c>
      <c r="D91" s="7" t="str">
        <f>INDEX(Pinjaman[Cabang],MATCH(B91,Pinjaman[ID], 0))</f>
        <v>Payroll_SMB</v>
      </c>
      <c r="E91" s="8">
        <v>45809</v>
      </c>
      <c r="F91" s="33" t="str">
        <f>TEXT(Cicilan[[#This Row],[Periode Gaji]],"yyy-mm")</f>
        <v>2025-06</v>
      </c>
      <c r="G91" s="47">
        <v>1000000</v>
      </c>
      <c r="H91" s="7" t="s">
        <v>105</v>
      </c>
      <c r="I91" s="7" t="s">
        <v>72</v>
      </c>
    </row>
    <row r="92" spans="2:9" x14ac:dyDescent="0.25">
      <c r="B92" s="7" t="s">
        <v>30</v>
      </c>
      <c r="C92" s="7" t="str">
        <f>INDEX(Pinjaman[Nama],MATCH(B92,Pinjaman[ID], 0))</f>
        <v>AMANAH</v>
      </c>
      <c r="D92" s="7" t="str">
        <f>INDEX(Pinjaman[Cabang],MATCH(B92,Pinjaman[ID], 0))</f>
        <v>RO_SMB</v>
      </c>
      <c r="E92" s="8">
        <v>45809</v>
      </c>
      <c r="F92" s="33" t="str">
        <f>TEXT(Cicilan[[#This Row],[Periode Gaji]],"yyy-mm")</f>
        <v>2025-06</v>
      </c>
      <c r="G92" s="47">
        <v>500000</v>
      </c>
      <c r="H92" s="7" t="s">
        <v>63</v>
      </c>
      <c r="I92" s="7" t="s">
        <v>72</v>
      </c>
    </row>
    <row r="93" spans="2:9" x14ac:dyDescent="0.25">
      <c r="B93" s="7" t="s">
        <v>31</v>
      </c>
      <c r="C93" s="7" t="str">
        <f>INDEX(Pinjaman[Nama],MATCH(B93,Pinjaman[ID], 0))</f>
        <v>MUJIONO</v>
      </c>
      <c r="D93" s="7" t="str">
        <f>INDEX(Pinjaman[Cabang],MATCH(B93,Pinjaman[ID], 0))</f>
        <v>RO_SMB</v>
      </c>
      <c r="E93" s="8">
        <v>45809</v>
      </c>
      <c r="F93" s="33" t="str">
        <f>TEXT(Cicilan[[#This Row],[Periode Gaji]],"yyy-mm")</f>
        <v>2025-06</v>
      </c>
      <c r="G93" s="47">
        <v>650000</v>
      </c>
      <c r="H93" s="7" t="s">
        <v>63</v>
      </c>
      <c r="I93" s="7" t="s">
        <v>72</v>
      </c>
    </row>
    <row r="94" spans="2:9" x14ac:dyDescent="0.25">
      <c r="B94" s="7" t="s">
        <v>32</v>
      </c>
      <c r="C94" s="7" t="str">
        <f>INDEX(Pinjaman[Nama],MATCH(B94,Pinjaman[ID], 0))</f>
        <v>ANTI HAE</v>
      </c>
      <c r="D94" s="7" t="str">
        <f>INDEX(Pinjaman[Cabang],MATCH(B94,Pinjaman[ID], 0))</f>
        <v>RO_SMB</v>
      </c>
      <c r="E94" s="8">
        <v>45809</v>
      </c>
      <c r="F94" s="33" t="str">
        <f>TEXT(Cicilan[[#This Row],[Periode Gaji]],"yyy-mm")</f>
        <v>2025-06</v>
      </c>
      <c r="G94" s="47">
        <v>500000</v>
      </c>
      <c r="H94" s="7" t="s">
        <v>63</v>
      </c>
      <c r="I94" s="7" t="s">
        <v>72</v>
      </c>
    </row>
    <row r="95" spans="2:9" x14ac:dyDescent="0.25">
      <c r="B95" s="7" t="s">
        <v>33</v>
      </c>
      <c r="C95" s="7" t="str">
        <f>INDEX(Pinjaman[Nama],MATCH(B95,Pinjaman[ID], 0))</f>
        <v xml:space="preserve">JAWANA </v>
      </c>
      <c r="D95" s="7" t="str">
        <f>INDEX(Pinjaman[Cabang],MATCH(B95,Pinjaman[ID], 0))</f>
        <v>Payroll_SMB</v>
      </c>
      <c r="E95" s="8">
        <v>45809</v>
      </c>
      <c r="F95" s="33" t="str">
        <f>TEXT(Cicilan[[#This Row],[Periode Gaji]],"yyy-mm")</f>
        <v>2025-06</v>
      </c>
      <c r="G95" s="47">
        <v>1000000</v>
      </c>
      <c r="H95" s="7" t="s">
        <v>105</v>
      </c>
      <c r="I95" s="7" t="s">
        <v>72</v>
      </c>
    </row>
    <row r="96" spans="2:9" x14ac:dyDescent="0.25">
      <c r="B96" s="7" t="s">
        <v>35</v>
      </c>
      <c r="C96" s="7" t="str">
        <f>INDEX(Pinjaman[Nama],MATCH(B96,Pinjaman[ID], 0))</f>
        <v>ANSYAH</v>
      </c>
      <c r="D96" s="7" t="str">
        <f>INDEX(Pinjaman[Cabang],MATCH(B96,Pinjaman[ID], 0))</f>
        <v>Payroll_SMB</v>
      </c>
      <c r="E96" s="8">
        <v>45809</v>
      </c>
      <c r="F96" s="33" t="str">
        <f>TEXT(Cicilan[[#This Row],[Periode Gaji]],"yyy-mm")</f>
        <v>2025-06</v>
      </c>
      <c r="G96" s="47">
        <v>5000000</v>
      </c>
      <c r="H96" s="7" t="s">
        <v>105</v>
      </c>
      <c r="I96" s="7" t="s">
        <v>72</v>
      </c>
    </row>
    <row r="97" spans="2:9" x14ac:dyDescent="0.25">
      <c r="B97" s="7" t="s">
        <v>42</v>
      </c>
      <c r="C97" s="7" t="str">
        <f>INDEX(Pinjaman[Nama],MATCH(B97,Pinjaman[ID], 0))</f>
        <v>ARAHAN</v>
      </c>
      <c r="D97" s="7" t="str">
        <f>INDEX(Pinjaman[Cabang],MATCH(B97,Pinjaman[ID], 0))</f>
        <v>RO_SMB</v>
      </c>
      <c r="E97" s="8">
        <v>45809</v>
      </c>
      <c r="F97" s="33" t="str">
        <f>TEXT(Cicilan[[#This Row],[Periode Gaji]],"yyy-mm")</f>
        <v>2025-06</v>
      </c>
      <c r="G97" s="47">
        <v>1500000</v>
      </c>
      <c r="H97" s="7" t="s">
        <v>63</v>
      </c>
      <c r="I97" s="7" t="s">
        <v>72</v>
      </c>
    </row>
    <row r="98" spans="2:9" x14ac:dyDescent="0.25">
      <c r="B98" s="7" t="s">
        <v>43</v>
      </c>
      <c r="C98" s="7" t="str">
        <f>INDEX(Pinjaman[Nama],MATCH(B98,Pinjaman[ID], 0))</f>
        <v>RIVAL</v>
      </c>
      <c r="D98" s="7" t="str">
        <f>INDEX(Pinjaman[Cabang],MATCH(B98,Pinjaman[ID], 0))</f>
        <v>Payroll_SMB</v>
      </c>
      <c r="E98" s="8">
        <v>45809</v>
      </c>
      <c r="F98" s="33" t="str">
        <f>TEXT(Cicilan[[#This Row],[Periode Gaji]],"yyy-mm")</f>
        <v>2025-06</v>
      </c>
      <c r="G98" s="47">
        <v>5000000</v>
      </c>
      <c r="H98" s="7" t="s">
        <v>105</v>
      </c>
      <c r="I98" s="7" t="s">
        <v>72</v>
      </c>
    </row>
    <row r="99" spans="2:9" x14ac:dyDescent="0.25">
      <c r="B99" s="7" t="s">
        <v>44</v>
      </c>
      <c r="C99" s="7" t="str">
        <f>INDEX(Pinjaman[Nama],MATCH(B99,Pinjaman[ID], 0))</f>
        <v>DAWANA</v>
      </c>
      <c r="D99" s="7" t="str">
        <f>INDEX(Pinjaman[Cabang],MATCH(B99,Pinjaman[ID], 0))</f>
        <v>RO_SMB</v>
      </c>
      <c r="E99" s="8">
        <v>45809</v>
      </c>
      <c r="F99" s="33" t="str">
        <f>TEXT(Cicilan[[#This Row],[Periode Gaji]],"yyy-mm")</f>
        <v>2025-06</v>
      </c>
      <c r="G99" s="47">
        <v>1500000</v>
      </c>
      <c r="H99" s="7" t="s">
        <v>63</v>
      </c>
      <c r="I99" s="7" t="s">
        <v>72</v>
      </c>
    </row>
    <row r="100" spans="2:9" x14ac:dyDescent="0.25">
      <c r="B100" s="7" t="s">
        <v>45</v>
      </c>
      <c r="C100" s="7" t="str">
        <f>INDEX(Pinjaman[Nama],MATCH(B100,Pinjaman[ID], 0))</f>
        <v xml:space="preserve"> TOBI</v>
      </c>
      <c r="D100" s="7" t="str">
        <f>INDEX(Pinjaman[Cabang],MATCH(B100,Pinjaman[ID], 0))</f>
        <v>RO_SMB</v>
      </c>
      <c r="E100" s="8">
        <v>45809</v>
      </c>
      <c r="F100" s="33" t="str">
        <f>TEXT(Cicilan[[#This Row],[Periode Gaji]],"yyy-mm")</f>
        <v>2025-06</v>
      </c>
      <c r="G100" s="47">
        <v>1000000</v>
      </c>
      <c r="H100" s="7" t="s">
        <v>62</v>
      </c>
      <c r="I100" s="7" t="s">
        <v>72</v>
      </c>
    </row>
    <row r="101" spans="2:9" x14ac:dyDescent="0.25">
      <c r="B101" s="7" t="s">
        <v>47</v>
      </c>
      <c r="C101" s="7" t="str">
        <f>INDEX(Pinjaman[Nama],MATCH(B101,Pinjaman[ID], 0))</f>
        <v>RATANA</v>
      </c>
      <c r="D101" s="7" t="str">
        <f>INDEX(Pinjaman[Cabang],MATCH(B101,Pinjaman[ID], 0))</f>
        <v>RO_SMB</v>
      </c>
      <c r="E101" s="8">
        <v>45809</v>
      </c>
      <c r="F101" s="33" t="str">
        <f>TEXT(Cicilan[[#This Row],[Periode Gaji]],"yyy-mm")</f>
        <v>2025-06</v>
      </c>
      <c r="G101" s="47">
        <v>500000</v>
      </c>
      <c r="H101" s="7" t="s">
        <v>62</v>
      </c>
      <c r="I101" s="7" t="s">
        <v>72</v>
      </c>
    </row>
    <row r="102" spans="2:9" x14ac:dyDescent="0.25">
      <c r="B102" s="7" t="s">
        <v>48</v>
      </c>
      <c r="C102" s="7" t="str">
        <f>INDEX(Pinjaman[Nama],MATCH(B102,Pinjaman[ID], 0))</f>
        <v>UMBUBA</v>
      </c>
      <c r="D102" s="7" t="str">
        <f>INDEX(Pinjaman[Cabang],MATCH(B102,Pinjaman[ID], 0))</f>
        <v>RO_SMB</v>
      </c>
      <c r="E102" s="8">
        <v>45809</v>
      </c>
      <c r="F102" s="33" t="str">
        <f>TEXT(Cicilan[[#This Row],[Periode Gaji]],"yyy-mm")</f>
        <v>2025-06</v>
      </c>
      <c r="G102" s="47">
        <v>700000</v>
      </c>
      <c r="H102" s="7" t="s">
        <v>63</v>
      </c>
      <c r="I102" s="7" t="s">
        <v>72</v>
      </c>
    </row>
    <row r="103" spans="2:9" x14ac:dyDescent="0.25">
      <c r="B103" s="7" t="s">
        <v>77</v>
      </c>
      <c r="C103" s="7" t="str">
        <f>INDEX(Pinjaman[Nama],MATCH(B103,Pinjaman[ID], 0))</f>
        <v>NALDI</v>
      </c>
      <c r="D103" s="7" t="str">
        <f>INDEX(Pinjaman[Cabang],MATCH(B103,Pinjaman[ID], 0))</f>
        <v>HO</v>
      </c>
      <c r="E103" s="8">
        <v>45809</v>
      </c>
      <c r="F103" s="33" t="str">
        <f>TEXT(Cicilan[[#This Row],[Periode Gaji]],"yyy-mm")</f>
        <v>2025-06</v>
      </c>
      <c r="G103" s="10">
        <v>750000</v>
      </c>
      <c r="H103" s="7" t="s">
        <v>105</v>
      </c>
      <c r="I103" s="7" t="s">
        <v>72</v>
      </c>
    </row>
    <row r="104" spans="2:9" x14ac:dyDescent="0.25">
      <c r="B104" s="7" t="s">
        <v>11</v>
      </c>
      <c r="C104" s="7" t="str">
        <f>INDEX(Pinjaman[Nama],MATCH(B104,Pinjaman[ID], 0))</f>
        <v>JANA</v>
      </c>
      <c r="D104" s="7" t="str">
        <f>INDEX(Pinjaman[Cabang],MATCH(B104,Pinjaman[ID], 0))</f>
        <v>RO_SSL</v>
      </c>
      <c r="E104" s="8">
        <v>45809</v>
      </c>
      <c r="F104" s="33" t="str">
        <f>TEXT(Cicilan[[#This Row],[Periode Gaji]],"yyy-mm")</f>
        <v>2025-06</v>
      </c>
      <c r="G104" s="9">
        <v>100000</v>
      </c>
      <c r="H104" s="7" t="s">
        <v>105</v>
      </c>
      <c r="I104" s="7" t="s">
        <v>72</v>
      </c>
    </row>
    <row r="105" spans="2:9" x14ac:dyDescent="0.25">
      <c r="B105" s="7" t="s">
        <v>21</v>
      </c>
      <c r="C105" s="7" t="str">
        <f>INDEX(Pinjaman[Nama],MATCH(B105,Pinjaman[ID], 0))</f>
        <v>ALIBA</v>
      </c>
      <c r="D105" s="7" t="str">
        <f>INDEX(Pinjaman[Cabang],MATCH(B105,Pinjaman[ID], 0))</f>
        <v>SIPIL</v>
      </c>
      <c r="E105" s="8">
        <v>45809</v>
      </c>
      <c r="F105" s="33" t="str">
        <f>TEXT(Cicilan[[#This Row],[Periode Gaji]],"yyy-mm")</f>
        <v>2025-06</v>
      </c>
      <c r="G105" s="9">
        <v>750000</v>
      </c>
      <c r="H105" s="7" t="s">
        <v>105</v>
      </c>
      <c r="I105" s="7" t="s">
        <v>72</v>
      </c>
    </row>
    <row r="106" spans="2:9" x14ac:dyDescent="0.25">
      <c r="B106" s="7" t="s">
        <v>18</v>
      </c>
      <c r="C106" s="7" t="str">
        <f>INDEX(Pinjaman[Nama],MATCH(B106,Pinjaman[ID], 0))</f>
        <v>GORDON</v>
      </c>
      <c r="D106" s="7" t="str">
        <f>INDEX(Pinjaman[Cabang],MATCH(B106,Pinjaman[ID], 0))</f>
        <v>PPA</v>
      </c>
      <c r="E106" s="8">
        <v>45839</v>
      </c>
      <c r="F106" s="33" t="str">
        <f>TEXT(Cicilan[[#This Row],[Periode Gaji]],"yyy-mm")</f>
        <v>2025-07</v>
      </c>
      <c r="G106" s="9">
        <v>1500000</v>
      </c>
      <c r="H106" s="7" t="s">
        <v>62</v>
      </c>
      <c r="I106" s="7" t="s">
        <v>72</v>
      </c>
    </row>
    <row r="107" spans="2:9" x14ac:dyDescent="0.25">
      <c r="B107" s="7" t="s">
        <v>46</v>
      </c>
      <c r="C107" s="7" t="str">
        <f>INDEX(Pinjaman[Nama],MATCH(B107,Pinjaman[ID], 0))</f>
        <v>SETIA</v>
      </c>
      <c r="D107" s="7" t="str">
        <f>INDEX(Pinjaman[Cabang],MATCH(B107,Pinjaman[ID], 0))</f>
        <v>SAP</v>
      </c>
      <c r="E107" s="8">
        <v>45839</v>
      </c>
      <c r="F107" s="33" t="str">
        <f>TEXT(Cicilan[[#This Row],[Periode Gaji]],"yyy-mm")</f>
        <v>2025-07</v>
      </c>
      <c r="G107" s="9">
        <v>500000</v>
      </c>
      <c r="H107" s="7" t="s">
        <v>106</v>
      </c>
      <c r="I107" s="7" t="s">
        <v>72</v>
      </c>
    </row>
    <row r="108" spans="2:9" x14ac:dyDescent="0.25">
      <c r="B108" s="7" t="s">
        <v>55</v>
      </c>
      <c r="C108" s="7" t="str">
        <f>INDEX(Pinjaman[Nama],MATCH(B108,Pinjaman[ID], 0))</f>
        <v>HERRY</v>
      </c>
      <c r="D108" s="7" t="str">
        <f>INDEX(Pinjaman[Cabang],MATCH(B108,Pinjaman[ID], 0))</f>
        <v>SAP</v>
      </c>
      <c r="E108" s="8">
        <v>45839</v>
      </c>
      <c r="F108" s="33" t="str">
        <f>TEXT(Cicilan[[#This Row],[Periode Gaji]],"yyy-mm")</f>
        <v>2025-07</v>
      </c>
      <c r="G108" s="9">
        <v>2000000</v>
      </c>
      <c r="H108" s="7" t="s">
        <v>25</v>
      </c>
      <c r="I108" s="7" t="s">
        <v>72</v>
      </c>
    </row>
    <row r="109" spans="2:9" x14ac:dyDescent="0.25">
      <c r="B109" s="7" t="s">
        <v>6</v>
      </c>
      <c r="C109" s="7" t="str">
        <f>INDEX(Pinjaman[Nama],MATCH(B109,Pinjaman[ID], 0))</f>
        <v>HAMAT</v>
      </c>
      <c r="D109" s="7" t="str">
        <f>INDEX(Pinjaman[Cabang],MATCH(B109,Pinjaman[ID], 0))</f>
        <v>Payroll_SMB</v>
      </c>
      <c r="E109" s="8">
        <v>45839</v>
      </c>
      <c r="F109" s="33" t="str">
        <f>TEXT(Cicilan[[#This Row],[Periode Gaji]],"yyy-mm")</f>
        <v>2025-07</v>
      </c>
      <c r="G109" s="47">
        <v>750000</v>
      </c>
      <c r="H109" s="7" t="s">
        <v>106</v>
      </c>
      <c r="I109" s="7" t="s">
        <v>72</v>
      </c>
    </row>
    <row r="110" spans="2:9" x14ac:dyDescent="0.25">
      <c r="B110" s="7" t="s">
        <v>10</v>
      </c>
      <c r="C110" s="7" t="str">
        <f>INDEX(Pinjaman[Nama],MATCH(B110,Pinjaman[ID], 0))</f>
        <v>NOPI</v>
      </c>
      <c r="D110" s="7" t="str">
        <f>INDEX(Pinjaman[Cabang],MATCH(B110,Pinjaman[ID], 0))</f>
        <v>Payroll_SMB</v>
      </c>
      <c r="E110" s="8">
        <v>45839</v>
      </c>
      <c r="F110" s="33" t="str">
        <f>TEXT(Cicilan[[#This Row],[Periode Gaji]],"yyy-mm")</f>
        <v>2025-07</v>
      </c>
      <c r="G110" s="47">
        <v>500000</v>
      </c>
      <c r="H110" s="7" t="s">
        <v>106</v>
      </c>
      <c r="I110" s="7" t="s">
        <v>72</v>
      </c>
    </row>
    <row r="111" spans="2:9" x14ac:dyDescent="0.25">
      <c r="B111" s="7" t="s">
        <v>29</v>
      </c>
      <c r="C111" s="7" t="str">
        <f>INDEX(Pinjaman[Nama],MATCH(B111,Pinjaman[ID], 0))</f>
        <v>ISHAQ</v>
      </c>
      <c r="D111" s="7" t="str">
        <f>INDEX(Pinjaman[Cabang],MATCH(B111,Pinjaman[ID], 0))</f>
        <v>Payroll_SMB</v>
      </c>
      <c r="E111" s="8">
        <v>45839</v>
      </c>
      <c r="F111" s="33" t="str">
        <f>TEXT(Cicilan[[#This Row],[Periode Gaji]],"yyy-mm")</f>
        <v>2025-07</v>
      </c>
      <c r="G111" s="47">
        <v>1000000</v>
      </c>
      <c r="H111" s="7" t="s">
        <v>25</v>
      </c>
      <c r="I111" s="7" t="s">
        <v>72</v>
      </c>
    </row>
    <row r="112" spans="2:9" x14ac:dyDescent="0.25">
      <c r="B112" s="7" t="s">
        <v>30</v>
      </c>
      <c r="C112" s="7" t="str">
        <f>INDEX(Pinjaman[Nama],MATCH(B112,Pinjaman[ID], 0))</f>
        <v>AMANAH</v>
      </c>
      <c r="D112" s="7" t="str">
        <f>INDEX(Pinjaman[Cabang],MATCH(B112,Pinjaman[ID], 0))</f>
        <v>RO_SMB</v>
      </c>
      <c r="E112" s="8">
        <v>45839</v>
      </c>
      <c r="F112" s="33" t="str">
        <f>TEXT(Cicilan[[#This Row],[Periode Gaji]],"yyy-mm")</f>
        <v>2025-07</v>
      </c>
      <c r="G112" s="47">
        <v>500000</v>
      </c>
      <c r="H112" s="7" t="s">
        <v>65</v>
      </c>
      <c r="I112" s="7" t="s">
        <v>72</v>
      </c>
    </row>
    <row r="113" spans="2:9" x14ac:dyDescent="0.25">
      <c r="B113" s="7" t="s">
        <v>31</v>
      </c>
      <c r="C113" s="7" t="str">
        <f>INDEX(Pinjaman[Nama],MATCH(B113,Pinjaman[ID], 0))</f>
        <v>MUJIONO</v>
      </c>
      <c r="D113" s="7" t="str">
        <f>INDEX(Pinjaman[Cabang],MATCH(B113,Pinjaman[ID], 0))</f>
        <v>RO_SMB</v>
      </c>
      <c r="E113" s="8">
        <v>45839</v>
      </c>
      <c r="F113" s="33" t="str">
        <f>TEXT(Cicilan[[#This Row],[Periode Gaji]],"yyy-mm")</f>
        <v>2025-07</v>
      </c>
      <c r="G113" s="47">
        <v>700000</v>
      </c>
      <c r="H113" s="7" t="s">
        <v>65</v>
      </c>
      <c r="I113" s="7" t="s">
        <v>72</v>
      </c>
    </row>
    <row r="114" spans="2:9" x14ac:dyDescent="0.25">
      <c r="B114" s="7" t="s">
        <v>32</v>
      </c>
      <c r="C114" s="7" t="str">
        <f>INDEX(Pinjaman[Nama],MATCH(B114,Pinjaman[ID], 0))</f>
        <v>ANTI HAE</v>
      </c>
      <c r="D114" s="7" t="str">
        <f>INDEX(Pinjaman[Cabang],MATCH(B114,Pinjaman[ID], 0))</f>
        <v>RO_SMB</v>
      </c>
      <c r="E114" s="8">
        <v>45839</v>
      </c>
      <c r="F114" s="33" t="str">
        <f>TEXT(Cicilan[[#This Row],[Periode Gaji]],"yyy-mm")</f>
        <v>2025-07</v>
      </c>
      <c r="G114" s="47">
        <v>500000</v>
      </c>
      <c r="H114" s="7" t="s">
        <v>65</v>
      </c>
      <c r="I114" s="7" t="s">
        <v>72</v>
      </c>
    </row>
    <row r="115" spans="2:9" x14ac:dyDescent="0.25">
      <c r="B115" s="7" t="s">
        <v>33</v>
      </c>
      <c r="C115" s="7" t="str">
        <f>INDEX(Pinjaman[Nama],MATCH(B115,Pinjaman[ID], 0))</f>
        <v xml:space="preserve">JAWANA </v>
      </c>
      <c r="D115" s="7" t="str">
        <f>INDEX(Pinjaman[Cabang],MATCH(B115,Pinjaman[ID], 0))</f>
        <v>Payroll_SMB</v>
      </c>
      <c r="E115" s="8">
        <v>45839</v>
      </c>
      <c r="F115" s="33" t="str">
        <f>TEXT(Cicilan[[#This Row],[Periode Gaji]],"yyy-mm")</f>
        <v>2025-07</v>
      </c>
      <c r="G115" s="47">
        <v>1000000</v>
      </c>
      <c r="H115" s="7" t="s">
        <v>106</v>
      </c>
      <c r="I115" s="7" t="s">
        <v>72</v>
      </c>
    </row>
    <row r="116" spans="2:9" x14ac:dyDescent="0.25">
      <c r="B116" s="7" t="s">
        <v>42</v>
      </c>
      <c r="C116" s="7" t="str">
        <f>INDEX(Pinjaman[Nama],MATCH(B116,Pinjaman[ID], 0))</f>
        <v>ARAHAN</v>
      </c>
      <c r="D116" s="7" t="str">
        <f>INDEX(Pinjaman[Cabang],MATCH(B116,Pinjaman[ID], 0))</f>
        <v>RO_SMB</v>
      </c>
      <c r="E116" s="8">
        <v>45839</v>
      </c>
      <c r="F116" s="33" t="str">
        <f>TEXT(Cicilan[[#This Row],[Periode Gaji]],"yyy-mm")</f>
        <v>2025-07</v>
      </c>
      <c r="G116" s="47">
        <v>1500000</v>
      </c>
      <c r="H116" s="7" t="s">
        <v>65</v>
      </c>
      <c r="I116" s="7" t="s">
        <v>72</v>
      </c>
    </row>
    <row r="117" spans="2:9" x14ac:dyDescent="0.25">
      <c r="B117" s="7" t="s">
        <v>45</v>
      </c>
      <c r="C117" s="7" t="str">
        <f>INDEX(Pinjaman[Nama],MATCH(B117,Pinjaman[ID], 0))</f>
        <v xml:space="preserve"> TOBI</v>
      </c>
      <c r="D117" s="7" t="str">
        <f>INDEX(Pinjaman[Cabang],MATCH(B117,Pinjaman[ID], 0))</f>
        <v>RO_SMB</v>
      </c>
      <c r="E117" s="8">
        <v>45839</v>
      </c>
      <c r="F117" s="33" t="str">
        <f>TEXT(Cicilan[[#This Row],[Periode Gaji]],"yyy-mm")</f>
        <v>2025-07</v>
      </c>
      <c r="G117" s="47">
        <v>2000000</v>
      </c>
      <c r="H117" s="7" t="s">
        <v>65</v>
      </c>
      <c r="I117" s="7" t="s">
        <v>72</v>
      </c>
    </row>
    <row r="118" spans="2:9" x14ac:dyDescent="0.25">
      <c r="B118" s="7" t="s">
        <v>47</v>
      </c>
      <c r="C118" s="7" t="str">
        <f>INDEX(Pinjaman[Nama],MATCH(B118,Pinjaman[ID], 0))</f>
        <v>RATANA</v>
      </c>
      <c r="D118" s="7" t="str">
        <f>INDEX(Pinjaman[Cabang],MATCH(B118,Pinjaman[ID], 0))</f>
        <v>RO_SMB</v>
      </c>
      <c r="E118" s="8">
        <v>45839</v>
      </c>
      <c r="F118" s="33" t="str">
        <f>TEXT(Cicilan[[#This Row],[Periode Gaji]],"yyy-mm")</f>
        <v>2025-07</v>
      </c>
      <c r="G118" s="47">
        <v>500000</v>
      </c>
      <c r="H118" s="7" t="s">
        <v>65</v>
      </c>
      <c r="I118" s="7" t="s">
        <v>72</v>
      </c>
    </row>
    <row r="119" spans="2:9" x14ac:dyDescent="0.25">
      <c r="B119" s="7" t="s">
        <v>52</v>
      </c>
      <c r="C119" s="7" t="str">
        <f>INDEX(Pinjaman[Nama],MATCH(B119,Pinjaman[ID], 0))</f>
        <v>ALVI</v>
      </c>
      <c r="D119" s="7" t="str">
        <f>INDEX(Pinjaman[Cabang],MATCH(B119,Pinjaman[ID], 0))</f>
        <v>RO_SMB</v>
      </c>
      <c r="E119" s="8">
        <v>45839</v>
      </c>
      <c r="F119" s="33" t="str">
        <f>TEXT(Cicilan[[#This Row],[Periode Gaji]],"yyy-mm")</f>
        <v>2025-07</v>
      </c>
      <c r="G119" s="47">
        <v>1500000</v>
      </c>
      <c r="H119" s="7" t="s">
        <v>65</v>
      </c>
      <c r="I119" s="7" t="s">
        <v>72</v>
      </c>
    </row>
    <row r="120" spans="2:9" x14ac:dyDescent="0.25">
      <c r="B120" s="7" t="s">
        <v>11</v>
      </c>
      <c r="C120" s="7" t="str">
        <f>INDEX(Pinjaman[Nama],MATCH(B120,Pinjaman[ID], 0))</f>
        <v>JANA</v>
      </c>
      <c r="D120" s="7" t="str">
        <f>INDEX(Pinjaman[Cabang],MATCH(B120,Pinjaman[ID], 0))</f>
        <v>RO_SSL</v>
      </c>
      <c r="E120" s="8">
        <v>45839</v>
      </c>
      <c r="F120" s="33" t="str">
        <f>TEXT(Cicilan[[#This Row],[Periode Gaji]],"yyy-mm")</f>
        <v>2025-07</v>
      </c>
      <c r="G120" s="9">
        <v>100000</v>
      </c>
      <c r="H120" s="7" t="s">
        <v>106</v>
      </c>
      <c r="I120" s="7" t="s">
        <v>72</v>
      </c>
    </row>
    <row r="121" spans="2:9" x14ac:dyDescent="0.25">
      <c r="B121" s="7" t="s">
        <v>21</v>
      </c>
      <c r="C121" s="7" t="str">
        <f>INDEX(Pinjaman[Nama],MATCH(B121,Pinjaman[ID], 0))</f>
        <v>ALIBA</v>
      </c>
      <c r="D121" s="7" t="str">
        <f>INDEX(Pinjaman[Cabang],MATCH(B121,Pinjaman[ID], 0))</f>
        <v>SIPIL</v>
      </c>
      <c r="E121" s="8">
        <v>45839</v>
      </c>
      <c r="F121" s="33" t="str">
        <f>TEXT(Cicilan[[#This Row],[Periode Gaji]],"yyy-mm")</f>
        <v>2025-07</v>
      </c>
      <c r="G121" s="9">
        <v>750000</v>
      </c>
      <c r="H121" s="7" t="s">
        <v>106</v>
      </c>
      <c r="I121" s="7" t="s">
        <v>72</v>
      </c>
    </row>
    <row r="122" spans="2:9" x14ac:dyDescent="0.25">
      <c r="B122" s="7" t="s">
        <v>19</v>
      </c>
      <c r="C122" s="7" t="str">
        <f>INDEX(Pinjaman[Nama],MATCH(B122,Pinjaman[ID], 0))</f>
        <v>GORDON</v>
      </c>
      <c r="D122" s="7" t="str">
        <f>INDEX(Pinjaman[Cabang],MATCH(B122,Pinjaman[ID], 0))</f>
        <v>PPA</v>
      </c>
      <c r="E122" s="8">
        <v>45870</v>
      </c>
      <c r="F122" s="33" t="str">
        <f>TEXT(Cicilan[[#This Row],[Periode Gaji]],"yyy-mm")</f>
        <v>2025-08</v>
      </c>
      <c r="G122" s="10">
        <v>1500000</v>
      </c>
      <c r="H122" s="7" t="s">
        <v>65</v>
      </c>
      <c r="I122" s="7" t="s">
        <v>72</v>
      </c>
    </row>
    <row r="123" spans="2:9" x14ac:dyDescent="0.25">
      <c r="B123" s="7" t="s">
        <v>49</v>
      </c>
      <c r="C123" s="7" t="str">
        <f>INDEX(Pinjaman[Nama],MATCH(B123,Pinjaman[ID], 0))</f>
        <v>PUTRAKU</v>
      </c>
      <c r="D123" s="7" t="str">
        <f>INDEX(Pinjaman[Cabang],MATCH(B123,Pinjaman[ID], 0))</f>
        <v>PPA</v>
      </c>
      <c r="E123" s="8">
        <v>45870</v>
      </c>
      <c r="F123" s="33" t="str">
        <f>TEXT(Cicilan[[#This Row],[Periode Gaji]],"yyy-mm")</f>
        <v>2025-08</v>
      </c>
      <c r="G123" s="10">
        <v>1000000</v>
      </c>
      <c r="H123" s="7" t="s">
        <v>107</v>
      </c>
      <c r="I123" s="7" t="s">
        <v>72</v>
      </c>
    </row>
    <row r="124" spans="2:9" x14ac:dyDescent="0.25">
      <c r="B124" s="7" t="s">
        <v>61</v>
      </c>
      <c r="C124" s="7" t="str">
        <f>INDEX(Pinjaman[Nama],MATCH(B124,Pinjaman[ID], 0))</f>
        <v>SOLEH</v>
      </c>
      <c r="D124" s="7" t="str">
        <f>INDEX(Pinjaman[Cabang],MATCH(B124,Pinjaman[ID], 0))</f>
        <v>PPA</v>
      </c>
      <c r="E124" s="8">
        <v>45870</v>
      </c>
      <c r="F124" s="33" t="str">
        <f>TEXT(Cicilan[[#This Row],[Periode Gaji]],"yyy-mm")</f>
        <v>2025-08</v>
      </c>
      <c r="G124" s="10">
        <v>1525000</v>
      </c>
      <c r="H124" s="7" t="s">
        <v>65</v>
      </c>
      <c r="I124" s="7" t="s">
        <v>72</v>
      </c>
    </row>
    <row r="125" spans="2:9" x14ac:dyDescent="0.25">
      <c r="B125" s="7" t="s">
        <v>61</v>
      </c>
      <c r="C125" s="7" t="str">
        <f>INDEX(Pinjaman[Nama],MATCH(B125,Pinjaman[ID], 0))</f>
        <v>SOLEH</v>
      </c>
      <c r="D125" s="7" t="str">
        <f>INDEX(Pinjaman[Cabang],MATCH(B125,Pinjaman[ID], 0))</f>
        <v>PPA</v>
      </c>
      <c r="E125" s="8">
        <v>45870</v>
      </c>
      <c r="F125" s="33" t="str">
        <f>TEXT(Cicilan[[#This Row],[Periode Gaji]],"yyy-mm")</f>
        <v>2025-08</v>
      </c>
      <c r="G125" s="10">
        <v>475000</v>
      </c>
      <c r="H125" s="7" t="s">
        <v>107</v>
      </c>
      <c r="I125" s="7" t="s">
        <v>72</v>
      </c>
    </row>
    <row r="126" spans="2:9" x14ac:dyDescent="0.25">
      <c r="B126" s="7" t="s">
        <v>71</v>
      </c>
      <c r="C126" s="7" t="str">
        <f>INDEX(Pinjaman[Nama],MATCH(B126,Pinjaman[ID], 0))</f>
        <v>HERRY</v>
      </c>
      <c r="D126" s="7" t="str">
        <f>INDEX(Pinjaman[Cabang],MATCH(B126,Pinjaman[ID], 0))</f>
        <v>SAP</v>
      </c>
      <c r="E126" s="8">
        <v>45870</v>
      </c>
      <c r="F126" s="33" t="str">
        <f>TEXT(Cicilan[[#This Row],[Periode Gaji]],"yyy-mm")</f>
        <v>2025-08</v>
      </c>
      <c r="G126" s="10">
        <v>3000000</v>
      </c>
      <c r="H126" s="7" t="s">
        <v>25</v>
      </c>
      <c r="I126" s="7" t="s">
        <v>72</v>
      </c>
    </row>
    <row r="127" spans="2:9" x14ac:dyDescent="0.25">
      <c r="B127" s="7" t="s">
        <v>88</v>
      </c>
      <c r="C127" s="7" t="str">
        <f>INDEX(Pinjaman[Nama],MATCH(B127,Pinjaman[ID], 0))</f>
        <v>SATRIO</v>
      </c>
      <c r="D127" s="7" t="str">
        <f>INDEX(Pinjaman[Cabang],MATCH(B127,Pinjaman[ID], 0))</f>
        <v>SSL</v>
      </c>
      <c r="E127" s="8">
        <v>45870</v>
      </c>
      <c r="F127" s="40" t="str">
        <f>TEXT(Cicilan[[#This Row],[Periode Gaji]],"yyy-mm")</f>
        <v>2025-08</v>
      </c>
      <c r="G127" s="10">
        <v>700000</v>
      </c>
      <c r="H127" s="7" t="s">
        <v>25</v>
      </c>
      <c r="I127" s="7" t="s">
        <v>72</v>
      </c>
    </row>
    <row r="128" spans="2:9" x14ac:dyDescent="0.25">
      <c r="B128" s="7" t="s">
        <v>6</v>
      </c>
      <c r="C128" s="7" t="str">
        <f>INDEX(Pinjaman[Nama],MATCH(B128,Pinjaman[ID], 0))</f>
        <v>HAMAT</v>
      </c>
      <c r="D128" s="7" t="str">
        <f>INDEX(Pinjaman[Cabang],MATCH(B128,Pinjaman[ID], 0))</f>
        <v>Payroll_SMB</v>
      </c>
      <c r="E128" s="8">
        <v>45870</v>
      </c>
      <c r="F128" s="33" t="str">
        <f>TEXT(Cicilan[[#This Row],[Periode Gaji]],"yyy-mm")</f>
        <v>2025-08</v>
      </c>
      <c r="G128" s="48">
        <v>1316100</v>
      </c>
      <c r="H128" s="7" t="s">
        <v>107</v>
      </c>
      <c r="I128" s="7" t="s">
        <v>72</v>
      </c>
    </row>
    <row r="129" spans="2:9" x14ac:dyDescent="0.25">
      <c r="B129" s="7" t="s">
        <v>33</v>
      </c>
      <c r="C129" s="7" t="str">
        <f>INDEX(Pinjaman[Nama],MATCH(B129,Pinjaman[ID], 0))</f>
        <v xml:space="preserve">JAWANA </v>
      </c>
      <c r="D129" s="7" t="str">
        <f>INDEX(Pinjaman[Cabang],MATCH(B129,Pinjaman[ID], 0))</f>
        <v>Payroll_SMB</v>
      </c>
      <c r="E129" s="8">
        <v>45870</v>
      </c>
      <c r="F129" s="33" t="str">
        <f>TEXT(Cicilan[[#This Row],[Periode Gaji]],"yyy-mm")</f>
        <v>2025-08</v>
      </c>
      <c r="G129" s="48">
        <v>1000000</v>
      </c>
      <c r="H129" s="7" t="s">
        <v>107</v>
      </c>
      <c r="I129" s="7" t="s">
        <v>72</v>
      </c>
    </row>
    <row r="130" spans="2:9" x14ac:dyDescent="0.25">
      <c r="B130" s="7" t="s">
        <v>47</v>
      </c>
      <c r="C130" s="7" t="str">
        <f>INDEX(Pinjaman[Nama],MATCH(B130,Pinjaman[ID], 0))</f>
        <v>RATANA</v>
      </c>
      <c r="D130" s="7" t="str">
        <f>INDEX(Pinjaman[Cabang],MATCH(B130,Pinjaman[ID], 0))</f>
        <v>RO_SMB</v>
      </c>
      <c r="E130" s="8">
        <v>45870</v>
      </c>
      <c r="F130" s="33" t="str">
        <f>TEXT(Cicilan[[#This Row],[Periode Gaji]],"yyy-mm")</f>
        <v>2025-08</v>
      </c>
      <c r="G130" s="48">
        <v>500000</v>
      </c>
      <c r="H130" s="26" t="s">
        <v>93</v>
      </c>
      <c r="I130" s="7" t="s">
        <v>72</v>
      </c>
    </row>
    <row r="131" spans="2:9" x14ac:dyDescent="0.25">
      <c r="B131" s="7" t="s">
        <v>52</v>
      </c>
      <c r="C131" s="7" t="str">
        <f>INDEX(Pinjaman[Nama],MATCH(B131,Pinjaman[ID], 0))</f>
        <v>ALVI</v>
      </c>
      <c r="D131" s="7" t="str">
        <f>INDEX(Pinjaman[Cabang],MATCH(B131,Pinjaman[ID], 0))</f>
        <v>RO_SMB</v>
      </c>
      <c r="E131" s="8">
        <v>45870</v>
      </c>
      <c r="F131" s="33" t="str">
        <f>TEXT(Cicilan[[#This Row],[Periode Gaji]],"yyy-mm")</f>
        <v>2025-08</v>
      </c>
      <c r="G131" s="48">
        <v>1500000</v>
      </c>
      <c r="H131" s="26" t="s">
        <v>93</v>
      </c>
      <c r="I131" s="7" t="s">
        <v>72</v>
      </c>
    </row>
    <row r="132" spans="2:9" x14ac:dyDescent="0.25">
      <c r="B132" s="7" t="s">
        <v>53</v>
      </c>
      <c r="C132" s="7" t="str">
        <f>INDEX(Pinjaman[Nama],MATCH(B132,Pinjaman[ID], 0))</f>
        <v>NOPI</v>
      </c>
      <c r="D132" s="7" t="str">
        <f>INDEX(Pinjaman[Cabang],MATCH(B132,Pinjaman[ID], 0))</f>
        <v>Payroll_SMB</v>
      </c>
      <c r="E132" s="8">
        <v>45870</v>
      </c>
      <c r="F132" s="33" t="str">
        <f>TEXT(Cicilan[[#This Row],[Periode Gaji]],"yyy-mm")</f>
        <v>2025-08</v>
      </c>
      <c r="G132" s="48">
        <v>1000000</v>
      </c>
      <c r="H132" s="7" t="s">
        <v>107</v>
      </c>
      <c r="I132" s="7" t="s">
        <v>72</v>
      </c>
    </row>
    <row r="133" spans="2:9" x14ac:dyDescent="0.25">
      <c r="B133" s="7" t="s">
        <v>54</v>
      </c>
      <c r="C133" s="7" t="str">
        <f>INDEX(Pinjaman[Nama],MATCH(B133,Pinjaman[ID], 0))</f>
        <v>LARA</v>
      </c>
      <c r="D133" s="7" t="str">
        <f>INDEX(Pinjaman[Cabang],MATCH(B133,Pinjaman[ID], 0))</f>
        <v>RO_SMB</v>
      </c>
      <c r="E133" s="8">
        <v>45870</v>
      </c>
      <c r="F133" s="33" t="str">
        <f>TEXT(Cicilan[[#This Row],[Periode Gaji]],"yyy-mm")</f>
        <v>2025-08</v>
      </c>
      <c r="G133" s="48">
        <v>2500000</v>
      </c>
      <c r="H133" s="26" t="s">
        <v>93</v>
      </c>
      <c r="I133" s="7" t="s">
        <v>72</v>
      </c>
    </row>
    <row r="134" spans="2:9" x14ac:dyDescent="0.25">
      <c r="B134" s="7" t="s">
        <v>91</v>
      </c>
      <c r="C134" s="7" t="str">
        <f>INDEX(Pinjaman[Nama],MATCH(B134,Pinjaman[ID], 0))</f>
        <v>ARAHAN</v>
      </c>
      <c r="D134" s="7" t="str">
        <f>INDEX(Pinjaman[Cabang],MATCH(B134,Pinjaman[ID], 0))</f>
        <v>RO_SMB</v>
      </c>
      <c r="E134" s="8">
        <v>45870</v>
      </c>
      <c r="F134" s="40" t="str">
        <f>TEXT(Cicilan[[#This Row],[Periode Gaji]],"yyy-mm")</f>
        <v>2025-08</v>
      </c>
      <c r="G134" s="48">
        <v>2500000</v>
      </c>
      <c r="H134" s="7" t="s">
        <v>93</v>
      </c>
      <c r="I134" s="7" t="s">
        <v>72</v>
      </c>
    </row>
    <row r="135" spans="2:9" x14ac:dyDescent="0.25">
      <c r="B135" s="7" t="s">
        <v>69</v>
      </c>
      <c r="C135" s="7" t="str">
        <f>INDEX(Pinjaman[Nama],MATCH(B135,Pinjaman[ID], 0))</f>
        <v>GHANA</v>
      </c>
      <c r="D135" s="7" t="str">
        <f>INDEX(Pinjaman[Cabang],MATCH(B135,Pinjaman[ID], 0))</f>
        <v>HO</v>
      </c>
      <c r="E135" s="8">
        <v>45870</v>
      </c>
      <c r="F135" s="33" t="str">
        <f>TEXT(Cicilan[[#This Row],[Periode Gaji]],"yyy-mm")</f>
        <v>2025-08</v>
      </c>
      <c r="G135" s="10">
        <v>500000</v>
      </c>
      <c r="H135" s="7" t="s">
        <v>107</v>
      </c>
      <c r="I135" s="7" t="s">
        <v>72</v>
      </c>
    </row>
    <row r="136" spans="2:9" x14ac:dyDescent="0.25">
      <c r="B136" s="7" t="s">
        <v>11</v>
      </c>
      <c r="C136" s="7" t="str">
        <f>INDEX(Pinjaman[Nama],MATCH(B136,Pinjaman[ID], 0))</f>
        <v>JANA</v>
      </c>
      <c r="D136" s="7" t="str">
        <f>INDEX(Pinjaman[Cabang],MATCH(B136,Pinjaman[ID], 0))</f>
        <v>RO_SSL</v>
      </c>
      <c r="E136" s="8">
        <v>45870</v>
      </c>
      <c r="F136" s="33" t="str">
        <f>TEXT(Cicilan[[#This Row],[Periode Gaji]],"yyy-mm")</f>
        <v>2025-08</v>
      </c>
      <c r="G136" s="10">
        <v>100000</v>
      </c>
      <c r="H136" s="7" t="s">
        <v>107</v>
      </c>
      <c r="I136" s="7" t="s">
        <v>72</v>
      </c>
    </row>
    <row r="137" spans="2:9" x14ac:dyDescent="0.25">
      <c r="B137" s="7" t="s">
        <v>21</v>
      </c>
      <c r="C137" s="7" t="str">
        <f>INDEX(Pinjaman[Nama],MATCH(B137,Pinjaman[ID], 0))</f>
        <v>ALIBA</v>
      </c>
      <c r="D137" s="7" t="str">
        <f>INDEX(Pinjaman[Cabang],MATCH(B137,Pinjaman[ID], 0))</f>
        <v>SIPIL</v>
      </c>
      <c r="E137" s="8">
        <v>45870</v>
      </c>
      <c r="F137" s="33" t="str">
        <f>TEXT(Cicilan[[#This Row],[Periode Gaji]],"yyy-mm")</f>
        <v>2025-08</v>
      </c>
      <c r="G137" s="10">
        <v>750000</v>
      </c>
      <c r="H137" s="7" t="s">
        <v>107</v>
      </c>
      <c r="I137" s="7" t="s">
        <v>72</v>
      </c>
    </row>
    <row r="138" spans="2:9" x14ac:dyDescent="0.25">
      <c r="B138" s="7" t="s">
        <v>19</v>
      </c>
      <c r="C138" s="7" t="str">
        <f>INDEX(Pinjaman[Nama],MATCH(B138,Pinjaman[ID], 0))</f>
        <v>GORDON</v>
      </c>
      <c r="D138" s="7" t="str">
        <f>INDEX(Pinjaman[Cabang],MATCH(B138,Pinjaman[ID], 0))</f>
        <v>PPA</v>
      </c>
      <c r="E138" s="8">
        <v>45901</v>
      </c>
      <c r="F138" s="40" t="str">
        <f>TEXT(Cicilan[[#This Row],[Periode Gaji]],"yyy-mm")</f>
        <v>2025-09</v>
      </c>
      <c r="G138" s="10">
        <v>1500000</v>
      </c>
      <c r="H138" s="7" t="s">
        <v>93</v>
      </c>
      <c r="I138" s="7" t="s">
        <v>72</v>
      </c>
    </row>
    <row r="139" spans="2:9" x14ac:dyDescent="0.25">
      <c r="B139" s="7" t="s">
        <v>49</v>
      </c>
      <c r="C139" s="7" t="str">
        <f>INDEX(Pinjaman[Nama],MATCH(B139,Pinjaman[ID], 0))</f>
        <v>PUTRAKU</v>
      </c>
      <c r="D139" s="7" t="str">
        <f>INDEX(Pinjaman[Cabang],MATCH(B139,Pinjaman[ID], 0))</f>
        <v>PPA</v>
      </c>
      <c r="E139" s="8">
        <v>45901</v>
      </c>
      <c r="F139" s="40" t="str">
        <f>TEXT(Cicilan[[#This Row],[Periode Gaji]],"yyy-mm")</f>
        <v>2025-09</v>
      </c>
      <c r="G139" s="10">
        <v>1000000</v>
      </c>
      <c r="H139" s="7" t="s">
        <v>108</v>
      </c>
      <c r="I139" s="7" t="s">
        <v>72</v>
      </c>
    </row>
    <row r="140" spans="2:9" x14ac:dyDescent="0.25">
      <c r="B140" s="7" t="s">
        <v>79</v>
      </c>
      <c r="C140" s="7" t="str">
        <f>INDEX(Pinjaman[Nama],MATCH(B140,Pinjaman[ID], 0))</f>
        <v>SETIA</v>
      </c>
      <c r="D140" s="7" t="str">
        <f>INDEX(Pinjaman[Cabang],MATCH(B140,Pinjaman[ID], 0))</f>
        <v>SAP</v>
      </c>
      <c r="E140" s="8">
        <v>45901</v>
      </c>
      <c r="F140" s="40" t="str">
        <f>TEXT(Cicilan[[#This Row],[Periode Gaji]],"yyy-mm")</f>
        <v>2025-09</v>
      </c>
      <c r="G140" s="10">
        <v>500000</v>
      </c>
      <c r="H140" s="7" t="s">
        <v>108</v>
      </c>
      <c r="I140" s="7" t="s">
        <v>72</v>
      </c>
    </row>
    <row r="141" spans="2:9" x14ac:dyDescent="0.25">
      <c r="B141" s="7" t="s">
        <v>115</v>
      </c>
      <c r="C141" s="7" t="str">
        <f>INDEX(Pinjaman[Nama],MATCH(B141,Pinjaman[ID], 0))</f>
        <v>ANDIKA</v>
      </c>
      <c r="D141" s="7" t="str">
        <f>INDEX(Pinjaman[Cabang],MATCH(B141,Pinjaman[ID], 0))</f>
        <v>SAP</v>
      </c>
      <c r="E141" s="8">
        <v>45901</v>
      </c>
      <c r="F141" s="40" t="str">
        <f>TEXT(Cicilan[[#This Row],[Periode Gaji]],"yyy-mm")</f>
        <v>2025-09</v>
      </c>
      <c r="G141" s="10">
        <v>1000000</v>
      </c>
      <c r="H141" s="7" t="s">
        <v>108</v>
      </c>
      <c r="I141" s="7" t="s">
        <v>72</v>
      </c>
    </row>
    <row r="142" spans="2:9" x14ac:dyDescent="0.25">
      <c r="B142" s="7" t="s">
        <v>128</v>
      </c>
      <c r="C142" s="7" t="str">
        <f>INDEX(Pinjaman[Nama],MATCH(B142,Pinjaman[ID], 0))</f>
        <v>HERRY</v>
      </c>
      <c r="D142" s="7" t="str">
        <f>INDEX(Pinjaman[Cabang],MATCH(B142,Pinjaman[ID], 0))</f>
        <v>SAP</v>
      </c>
      <c r="E142" s="8">
        <v>45901</v>
      </c>
      <c r="F142" s="40" t="str">
        <f>TEXT(Cicilan[[#This Row],[Periode Gaji]],"yyy-mm")</f>
        <v>2025-09</v>
      </c>
      <c r="G142" s="10">
        <v>3000000</v>
      </c>
      <c r="H142" s="7" t="s">
        <v>108</v>
      </c>
      <c r="I142" s="7" t="s">
        <v>72</v>
      </c>
    </row>
    <row r="143" spans="2:9" x14ac:dyDescent="0.25">
      <c r="B143" s="7" t="s">
        <v>89</v>
      </c>
      <c r="C143" s="7" t="str">
        <f>INDEX(Pinjaman[Nama],MATCH(B143,Pinjaman[ID], 0))</f>
        <v>BABPUIR</v>
      </c>
      <c r="D143" s="7" t="str">
        <f>INDEX(Pinjaman[Cabang],MATCH(B143,Pinjaman[ID], 0))</f>
        <v>SSL</v>
      </c>
      <c r="E143" s="8">
        <v>45901</v>
      </c>
      <c r="F143" s="40" t="str">
        <f>TEXT(Cicilan[[#This Row],[Periode Gaji]],"yyy-mm")</f>
        <v>2025-09</v>
      </c>
      <c r="G143" s="10">
        <v>2000000</v>
      </c>
      <c r="H143" s="7" t="s">
        <v>93</v>
      </c>
      <c r="I143" s="7" t="s">
        <v>72</v>
      </c>
    </row>
    <row r="144" spans="2:9" x14ac:dyDescent="0.25">
      <c r="B144" s="7" t="s">
        <v>122</v>
      </c>
      <c r="C144" s="7" t="str">
        <f>INDEX(Pinjaman[Nama],MATCH(B144,Pinjaman[ID], 0))</f>
        <v>LANIA</v>
      </c>
      <c r="D144" s="7" t="str">
        <f>INDEX(Pinjaman[Cabang],MATCH(B144,Pinjaman[ID], 0))</f>
        <v>SSL</v>
      </c>
      <c r="E144" s="8">
        <v>45901</v>
      </c>
      <c r="F144" s="40" t="str">
        <f>TEXT(Cicilan[[#This Row],[Periode Gaji]],"yyy-mm")</f>
        <v>2025-09</v>
      </c>
      <c r="G144" s="10">
        <v>1000000</v>
      </c>
      <c r="H144" s="7" t="s">
        <v>108</v>
      </c>
      <c r="I144" s="7" t="s">
        <v>72</v>
      </c>
    </row>
    <row r="145" spans="2:9" x14ac:dyDescent="0.25">
      <c r="B145" s="7" t="s">
        <v>96</v>
      </c>
      <c r="C145" s="7" t="str">
        <f>INDEX(Pinjaman[Nama],MATCH(B145,Pinjaman[ID], 0))</f>
        <v>RIVAL</v>
      </c>
      <c r="D145" s="7" t="str">
        <f>INDEX(Pinjaman[Cabang],MATCH(B145,Pinjaman[ID], 0))</f>
        <v>Payroll_SMB</v>
      </c>
      <c r="E145" s="8">
        <v>45901</v>
      </c>
      <c r="F145" s="40" t="str">
        <f>TEXT(Cicilan[[#This Row],[Periode Gaji]],"yyy-mm")</f>
        <v>2025-09</v>
      </c>
      <c r="G145" s="48">
        <v>5000000</v>
      </c>
      <c r="H145" s="7" t="s">
        <v>108</v>
      </c>
      <c r="I145" s="7" t="s">
        <v>72</v>
      </c>
    </row>
    <row r="146" spans="2:9" x14ac:dyDescent="0.25">
      <c r="B146" s="7" t="s">
        <v>97</v>
      </c>
      <c r="C146" s="7" t="str">
        <f>INDEX(Pinjaman[Nama],MATCH(B146,Pinjaman[ID], 0))</f>
        <v>ANSYAH</v>
      </c>
      <c r="D146" s="7" t="str">
        <f>INDEX(Pinjaman[Cabang],MATCH(B146,Pinjaman[ID], 0))</f>
        <v>Payroll_SMB</v>
      </c>
      <c r="E146" s="8">
        <v>45901</v>
      </c>
      <c r="F146" s="40" t="str">
        <f>TEXT(Cicilan[[#This Row],[Periode Gaji]],"yyy-mm")</f>
        <v>2025-09</v>
      </c>
      <c r="G146" s="48">
        <v>2000000</v>
      </c>
      <c r="H146" s="7" t="s">
        <v>108</v>
      </c>
      <c r="I146" s="7" t="s">
        <v>72</v>
      </c>
    </row>
    <row r="147" spans="2:9" x14ac:dyDescent="0.25">
      <c r="B147" s="7" t="s">
        <v>47</v>
      </c>
      <c r="C147" s="49" t="str">
        <f>INDEX(Pinjaman[Nama],MATCH(B147,Pinjaman[ID], 0))</f>
        <v>RATANA</v>
      </c>
      <c r="D147" s="7" t="str">
        <f>INDEX(Pinjaman[Cabang],MATCH(B147,Pinjaman[ID], 0))</f>
        <v>RO_SMB</v>
      </c>
      <c r="E147" s="8">
        <v>45901</v>
      </c>
      <c r="F147" s="40" t="str">
        <f>TEXT(Cicilan[[#This Row],[Periode Gaji]],"yyy-mm")</f>
        <v>2025-09</v>
      </c>
      <c r="G147" s="48">
        <v>500000</v>
      </c>
      <c r="H147" s="7" t="s">
        <v>112</v>
      </c>
      <c r="I147" s="7" t="s">
        <v>72</v>
      </c>
    </row>
    <row r="148" spans="2:9" x14ac:dyDescent="0.25">
      <c r="B148" s="7" t="s">
        <v>53</v>
      </c>
      <c r="C148" s="7" t="str">
        <f>INDEX(Pinjaman[Nama],MATCH(B148,Pinjaman[ID], 0))</f>
        <v>NOPI</v>
      </c>
      <c r="D148" s="7" t="str">
        <f>INDEX(Pinjaman[Cabang],MATCH(B148,Pinjaman[ID], 0))</f>
        <v>Payroll_SMB</v>
      </c>
      <c r="E148" s="8">
        <v>45901</v>
      </c>
      <c r="F148" s="40" t="str">
        <f>TEXT(Cicilan[[#This Row],[Periode Gaji]],"yyy-mm")</f>
        <v>2025-09</v>
      </c>
      <c r="G148" s="48">
        <v>1000000</v>
      </c>
      <c r="H148" s="7" t="s">
        <v>108</v>
      </c>
      <c r="I148" s="7" t="s">
        <v>72</v>
      </c>
    </row>
    <row r="149" spans="2:9" x14ac:dyDescent="0.25">
      <c r="B149" s="7" t="s">
        <v>90</v>
      </c>
      <c r="C149" s="49" t="str">
        <f>INDEX(Pinjaman[Nama],MATCH(B149,Pinjaman[ID], 0))</f>
        <v>LAFU</v>
      </c>
      <c r="D149" s="7" t="str">
        <f>INDEX(Pinjaman[Cabang],MATCH(B149,Pinjaman[ID], 0))</f>
        <v>RO_SMB</v>
      </c>
      <c r="E149" s="8">
        <v>45901</v>
      </c>
      <c r="F149" s="40" t="str">
        <f>TEXT(Cicilan[[#This Row],[Periode Gaji]],"yyy-mm")</f>
        <v>2025-09</v>
      </c>
      <c r="G149" s="48">
        <v>500000</v>
      </c>
      <c r="H149" s="7" t="s">
        <v>112</v>
      </c>
      <c r="I149" s="7" t="s">
        <v>72</v>
      </c>
    </row>
    <row r="150" spans="2:9" x14ac:dyDescent="0.25">
      <c r="B150" s="7" t="s">
        <v>91</v>
      </c>
      <c r="C150" s="49" t="str">
        <f>INDEX(Pinjaman[Nama],MATCH(B150,Pinjaman[ID], 0))</f>
        <v>ARAHAN</v>
      </c>
      <c r="D150" s="7" t="str">
        <f>INDEX(Pinjaman[Cabang],MATCH(B150,Pinjaman[ID], 0))</f>
        <v>RO_SMB</v>
      </c>
      <c r="E150" s="8">
        <v>45901</v>
      </c>
      <c r="F150" s="40" t="str">
        <f>TEXT(Cicilan[[#This Row],[Periode Gaji]],"yyy-mm")</f>
        <v>2025-09</v>
      </c>
      <c r="G150" s="48">
        <v>1000000</v>
      </c>
      <c r="H150" s="7" t="s">
        <v>112</v>
      </c>
      <c r="I150" s="7" t="s">
        <v>72</v>
      </c>
    </row>
    <row r="151" spans="2:9" x14ac:dyDescent="0.25">
      <c r="B151" s="7" t="s">
        <v>92</v>
      </c>
      <c r="C151" s="49" t="str">
        <f>INDEX(Pinjaman[Nama],MATCH(B151,Pinjaman[ID], 0))</f>
        <v>HAE</v>
      </c>
      <c r="D151" s="7" t="str">
        <f>INDEX(Pinjaman[Cabang],MATCH(B151,Pinjaman[ID], 0))</f>
        <v>RO_SMB</v>
      </c>
      <c r="E151" s="8">
        <v>45901</v>
      </c>
      <c r="F151" s="40" t="str">
        <f>TEXT(Cicilan[[#This Row],[Periode Gaji]],"yyy-mm")</f>
        <v>2025-09</v>
      </c>
      <c r="G151" s="48">
        <v>500000</v>
      </c>
      <c r="H151" s="7" t="s">
        <v>108</v>
      </c>
      <c r="I151" s="7" t="s">
        <v>72</v>
      </c>
    </row>
    <row r="152" spans="2:9" x14ac:dyDescent="0.25">
      <c r="B152" s="7" t="s">
        <v>113</v>
      </c>
      <c r="C152" s="7" t="str">
        <f>INDEX(Pinjaman[Nama],MATCH(B152,Pinjaman[ID], 0))</f>
        <v>ISHAQ</v>
      </c>
      <c r="D152" s="7" t="str">
        <f>INDEX(Pinjaman[Cabang],MATCH(B152,Pinjaman[ID], 0))</f>
        <v>Payroll_SMB</v>
      </c>
      <c r="E152" s="8">
        <v>45901</v>
      </c>
      <c r="F152" s="40" t="str">
        <f>TEXT(Cicilan[[#This Row],[Periode Gaji]],"yyy-mm")</f>
        <v>2025-09</v>
      </c>
      <c r="G152" s="48">
        <v>2500000</v>
      </c>
      <c r="H152" s="7" t="s">
        <v>108</v>
      </c>
      <c r="I152" s="7" t="s">
        <v>72</v>
      </c>
    </row>
    <row r="153" spans="2:9" x14ac:dyDescent="0.25">
      <c r="B153" s="7" t="s">
        <v>116</v>
      </c>
      <c r="C153" s="49" t="str">
        <f>INDEX(Pinjaman[Nama],MATCH(B153,Pinjaman[ID], 0))</f>
        <v>ALVI</v>
      </c>
      <c r="D153" s="7" t="str">
        <f>INDEX(Pinjaman[Cabang],MATCH(B153,Pinjaman[ID], 0))</f>
        <v>RO_SMB</v>
      </c>
      <c r="E153" s="8">
        <v>45901</v>
      </c>
      <c r="F153" s="40" t="str">
        <f>TEXT(Cicilan[[#This Row],[Periode Gaji]],"yyy-mm")</f>
        <v>2025-09</v>
      </c>
      <c r="G153" s="48">
        <v>1000000</v>
      </c>
      <c r="H153" s="7" t="s">
        <v>112</v>
      </c>
      <c r="I153" s="7" t="s">
        <v>72</v>
      </c>
    </row>
    <row r="154" spans="2:9" x14ac:dyDescent="0.25">
      <c r="B154" s="7" t="s">
        <v>121</v>
      </c>
      <c r="C154" s="49" t="str">
        <f>INDEX(Pinjaman[Nama],MATCH(B154,Pinjaman[ID], 0))</f>
        <v>UMBUBA</v>
      </c>
      <c r="D154" s="7" t="str">
        <f>INDEX(Pinjaman[Cabang],MATCH(B154,Pinjaman[ID], 0))</f>
        <v>RO_SMB</v>
      </c>
      <c r="E154" s="8">
        <v>45901</v>
      </c>
      <c r="F154" s="40" t="str">
        <f>TEXT(Cicilan[[#This Row],[Periode Gaji]],"yyy-mm")</f>
        <v>2025-09</v>
      </c>
      <c r="G154" s="48">
        <v>1000000</v>
      </c>
      <c r="H154" s="7" t="s">
        <v>112</v>
      </c>
      <c r="I154" s="7" t="s">
        <v>72</v>
      </c>
    </row>
    <row r="155" spans="2:9" x14ac:dyDescent="0.25">
      <c r="B155" s="7" t="s">
        <v>67</v>
      </c>
      <c r="C155" s="7" t="str">
        <f>INDEX(Pinjaman[Nama],MATCH(B155,Pinjaman[ID], 0))</f>
        <v>BERKAH</v>
      </c>
      <c r="D155" s="7" t="str">
        <f>INDEX(Pinjaman[Cabang],MATCH(B155,Pinjaman[ID], 0))</f>
        <v>HO</v>
      </c>
      <c r="E155" s="8">
        <v>45901</v>
      </c>
      <c r="F155" s="40" t="str">
        <f>TEXT(Cicilan[[#This Row],[Periode Gaji]],"yyy-mm")</f>
        <v>2025-09</v>
      </c>
      <c r="G155" s="10">
        <v>500000</v>
      </c>
      <c r="H155" s="7" t="s">
        <v>108</v>
      </c>
      <c r="I155" s="7" t="s">
        <v>72</v>
      </c>
    </row>
    <row r="156" spans="2:9" x14ac:dyDescent="0.25">
      <c r="B156" s="7" t="s">
        <v>69</v>
      </c>
      <c r="C156" s="7" t="str">
        <f>INDEX(Pinjaman[Nama],MATCH(B156,Pinjaman[ID], 0))</f>
        <v>GHANA</v>
      </c>
      <c r="D156" s="7" t="str">
        <f>INDEX(Pinjaman[Cabang],MATCH(B156,Pinjaman[ID], 0))</f>
        <v>HO</v>
      </c>
      <c r="E156" s="8">
        <v>45901</v>
      </c>
      <c r="F156" s="40" t="str">
        <f>TEXT(Cicilan[[#This Row],[Periode Gaji]],"yyy-mm")</f>
        <v>2025-09</v>
      </c>
      <c r="G156" s="10">
        <v>500000</v>
      </c>
      <c r="H156" s="7" t="s">
        <v>108</v>
      </c>
      <c r="I156" s="7" t="s">
        <v>72</v>
      </c>
    </row>
    <row r="157" spans="2:9" x14ac:dyDescent="0.25">
      <c r="B157" s="7" t="s">
        <v>111</v>
      </c>
      <c r="C157" s="7" t="str">
        <f>INDEX(Pinjaman[Nama],MATCH(B157,Pinjaman[ID], 0))</f>
        <v>DEDEN</v>
      </c>
      <c r="D157" s="7" t="str">
        <f>INDEX(Pinjaman[Cabang],MATCH(B157,Pinjaman[ID], 0))</f>
        <v>RO_SSL</v>
      </c>
      <c r="E157" s="8">
        <v>45901</v>
      </c>
      <c r="F157" s="40" t="str">
        <f>TEXT(Cicilan[[#This Row],[Periode Gaji]],"yyy-mm")</f>
        <v>2025-09</v>
      </c>
      <c r="G157" s="10">
        <v>500000</v>
      </c>
      <c r="H157" s="7" t="s">
        <v>108</v>
      </c>
      <c r="I157" s="7" t="s">
        <v>72</v>
      </c>
    </row>
    <row r="158" spans="2:9" x14ac:dyDescent="0.25">
      <c r="B158" s="7" t="s">
        <v>11</v>
      </c>
      <c r="C158" s="7" t="str">
        <f>INDEX(Pinjaman[Nama],MATCH(B158,Pinjaman[ID], 0))</f>
        <v>JANA</v>
      </c>
      <c r="D158" s="7" t="str">
        <f>INDEX(Pinjaman[Cabang],MATCH(B158,Pinjaman[ID], 0))</f>
        <v>RO_SSL</v>
      </c>
      <c r="E158" s="8">
        <v>45901</v>
      </c>
      <c r="F158" s="40" t="str">
        <f>TEXT(Cicilan[[#This Row],[Periode Gaji]],"yyy-mm")</f>
        <v>2025-09</v>
      </c>
      <c r="G158" s="10">
        <v>100000</v>
      </c>
      <c r="H158" s="7" t="s">
        <v>108</v>
      </c>
      <c r="I158" s="7" t="s">
        <v>72</v>
      </c>
    </row>
    <row r="159" spans="2:9" x14ac:dyDescent="0.25">
      <c r="B159" s="7" t="s">
        <v>21</v>
      </c>
      <c r="C159" s="7" t="str">
        <f>INDEX(Pinjaman[Nama],MATCH(B159,Pinjaman[ID], 0))</f>
        <v>ALIBA</v>
      </c>
      <c r="D159" s="7" t="str">
        <f>INDEX(Pinjaman[Cabang],MATCH(B159,Pinjaman[ID], 0))</f>
        <v>SIPIL</v>
      </c>
      <c r="E159" s="8">
        <v>45901</v>
      </c>
      <c r="F159" s="40" t="str">
        <f>TEXT(Cicilan[[#This Row],[Periode Gaji]],"yyy-mm")</f>
        <v>2025-09</v>
      </c>
      <c r="G159" s="10">
        <v>750000</v>
      </c>
      <c r="H159" s="7" t="s">
        <v>108</v>
      </c>
      <c r="I159" s="7" t="s">
        <v>72</v>
      </c>
    </row>
    <row r="160" spans="2:9" x14ac:dyDescent="0.25">
      <c r="B160" s="7" t="s">
        <v>129</v>
      </c>
      <c r="C160" s="7" t="str">
        <f>INDEX(Pinjaman[Nama],MATCH(B160,Pinjaman[ID], 0))</f>
        <v>SOLEH</v>
      </c>
      <c r="D160" s="7" t="str">
        <f>INDEX(Pinjaman[Cabang],MATCH(B160,Pinjaman[ID], 0))</f>
        <v>PPA</v>
      </c>
      <c r="E160" s="8">
        <v>45931</v>
      </c>
      <c r="F160" s="40" t="str">
        <f>TEXT(Cicilan[[#This Row],[Periode Gaji]],"yyy-mm")</f>
        <v>2025-10</v>
      </c>
      <c r="G160" s="10">
        <v>1000000</v>
      </c>
      <c r="H160" s="7" t="s">
        <v>112</v>
      </c>
      <c r="I160" s="7" t="s">
        <v>72</v>
      </c>
    </row>
    <row r="161" spans="2:9" x14ac:dyDescent="0.25">
      <c r="B161" s="7" t="s">
        <v>115</v>
      </c>
      <c r="C161" s="7" t="str">
        <f>INDEX(Pinjaman[Nama],MATCH(B161,Pinjaman[ID], 0))</f>
        <v>ANDIKA</v>
      </c>
      <c r="D161" s="7" t="str">
        <f>INDEX(Pinjaman[Cabang],MATCH(B161,Pinjaman[ID], 0))</f>
        <v>SAP</v>
      </c>
      <c r="E161" s="8">
        <v>45931</v>
      </c>
      <c r="F161" s="40" t="str">
        <f>TEXT(Cicilan[[#This Row],[Periode Gaji]],"yyy-mm")</f>
        <v>2025-10</v>
      </c>
      <c r="G161" s="10">
        <v>1000000</v>
      </c>
      <c r="H161" s="7" t="s">
        <v>110</v>
      </c>
      <c r="I161" s="7" t="s">
        <v>72</v>
      </c>
    </row>
    <row r="162" spans="2:9" x14ac:dyDescent="0.25">
      <c r="B162" s="7" t="s">
        <v>132</v>
      </c>
      <c r="C162" s="7" t="str">
        <f>INDEX(Pinjaman[Nama],MATCH(B162,Pinjaman[ID], 0))</f>
        <v>SETIA</v>
      </c>
      <c r="D162" s="7" t="str">
        <f>INDEX(Pinjaman[Cabang],MATCH(B162,Pinjaman[ID], 0))</f>
        <v>SAP</v>
      </c>
      <c r="E162" s="8">
        <v>45931</v>
      </c>
      <c r="F162" s="40" t="str">
        <f>TEXT(Cicilan[[#This Row],[Periode Gaji]],"yyy-mm")</f>
        <v>2025-10</v>
      </c>
      <c r="G162" s="10">
        <v>500000</v>
      </c>
      <c r="H162" s="7" t="s">
        <v>110</v>
      </c>
      <c r="I162" s="7" t="s">
        <v>72</v>
      </c>
    </row>
    <row r="163" spans="2:9" x14ac:dyDescent="0.25">
      <c r="B163" s="7" t="s">
        <v>139</v>
      </c>
      <c r="C163" s="7" t="str">
        <f>INDEX(Pinjaman[Nama],MATCH(B163,Pinjaman[ID], 0))</f>
        <v>HERRY</v>
      </c>
      <c r="D163" s="7" t="str">
        <f>INDEX(Pinjaman[Cabang],MATCH(B163,Pinjaman[ID], 0))</f>
        <v>SAP</v>
      </c>
      <c r="E163" s="8">
        <v>45931</v>
      </c>
      <c r="F163" s="40" t="str">
        <f>TEXT(Cicilan[[#This Row],[Periode Gaji]],"yyy-mm")</f>
        <v>2025-10</v>
      </c>
      <c r="G163" s="10">
        <v>3000000</v>
      </c>
      <c r="H163" s="7" t="s">
        <v>110</v>
      </c>
      <c r="I163" s="7" t="s">
        <v>72</v>
      </c>
    </row>
    <row r="164" spans="2:9" x14ac:dyDescent="0.25">
      <c r="B164" s="7" t="s">
        <v>122</v>
      </c>
      <c r="C164" s="7" t="str">
        <f>INDEX(Pinjaman[Nama],MATCH(B164,Pinjaman[ID], 0))</f>
        <v>LANIA</v>
      </c>
      <c r="D164" s="7" t="str">
        <f>INDEX(Pinjaman[Cabang],MATCH(B164,Pinjaman[ID], 0))</f>
        <v>SSL</v>
      </c>
      <c r="E164" s="8">
        <v>45931</v>
      </c>
      <c r="F164" s="40" t="str">
        <f>TEXT(Cicilan[[#This Row],[Periode Gaji]],"yyy-mm")</f>
        <v>2025-10</v>
      </c>
      <c r="G164" s="10">
        <v>1000000</v>
      </c>
      <c r="H164" s="7" t="s">
        <v>110</v>
      </c>
      <c r="I164" s="7" t="s">
        <v>72</v>
      </c>
    </row>
    <row r="165" spans="2:9" x14ac:dyDescent="0.25">
      <c r="B165" s="7" t="s">
        <v>134</v>
      </c>
      <c r="C165" s="7" t="str">
        <f>INDEX(Pinjaman[Nama],MATCH(B165,Pinjaman[ID], 0))</f>
        <v>TRI YANTO</v>
      </c>
      <c r="D165" s="7" t="str">
        <f>INDEX(Pinjaman[Cabang],MATCH(B165,Pinjaman[ID], 0))</f>
        <v>SSL</v>
      </c>
      <c r="E165" s="8">
        <v>45931</v>
      </c>
      <c r="F165" s="40" t="str">
        <f>TEXT(Cicilan[[#This Row],[Periode Gaji]],"yyy-mm")</f>
        <v>2025-10</v>
      </c>
      <c r="G165" s="10">
        <v>1000000</v>
      </c>
      <c r="H165" s="7" t="s">
        <v>110</v>
      </c>
      <c r="I165" s="7" t="s">
        <v>72</v>
      </c>
    </row>
    <row r="166" spans="2:9" x14ac:dyDescent="0.25">
      <c r="B166" s="7" t="s">
        <v>127</v>
      </c>
      <c r="C166" s="7" t="str">
        <f>INDEX(Pinjaman[Nama],MATCH(B166,Pinjaman[ID], 0))</f>
        <v xml:space="preserve">JAWANA </v>
      </c>
      <c r="D166" s="7" t="str">
        <f>INDEX(Pinjaman[Cabang],MATCH(B166,Pinjaman[ID], 0))</f>
        <v>Payroll_SMB</v>
      </c>
      <c r="E166" s="8">
        <v>45931</v>
      </c>
      <c r="F166" s="40" t="str">
        <f>TEXT(Cicilan[[#This Row],[Periode Gaji]],"yyy-mm")</f>
        <v>2025-10</v>
      </c>
      <c r="G166" s="48">
        <v>1000000</v>
      </c>
      <c r="H166" s="7" t="s">
        <v>110</v>
      </c>
      <c r="I166" s="7" t="s">
        <v>72</v>
      </c>
    </row>
    <row r="167" spans="2:9" x14ac:dyDescent="0.25">
      <c r="B167" s="7" t="s">
        <v>53</v>
      </c>
      <c r="C167" s="7" t="str">
        <f>INDEX(Pinjaman[Nama],MATCH(B167,Pinjaman[ID], 0))</f>
        <v>NOPI</v>
      </c>
      <c r="D167" s="7" t="str">
        <f>INDEX(Pinjaman[Cabang],MATCH(B167,Pinjaman[ID], 0))</f>
        <v>Payroll_SMB</v>
      </c>
      <c r="E167" s="8">
        <v>45931</v>
      </c>
      <c r="F167" s="40" t="str">
        <f>TEXT(Cicilan[[#This Row],[Periode Gaji]],"yyy-mm")</f>
        <v>2025-10</v>
      </c>
      <c r="G167" s="10">
        <v>1000000</v>
      </c>
      <c r="H167" s="7" t="s">
        <v>110</v>
      </c>
      <c r="I167" s="7" t="s">
        <v>72</v>
      </c>
    </row>
    <row r="168" spans="2:9" x14ac:dyDescent="0.25">
      <c r="B168" s="7" t="s">
        <v>54</v>
      </c>
      <c r="C168" s="7" t="str">
        <f>INDEX(Pinjaman[Nama],MATCH(B168,Pinjaman[ID], 0))</f>
        <v>LARA</v>
      </c>
      <c r="D168" s="7" t="str">
        <f>INDEX(Pinjaman[Cabang],MATCH(B168,Pinjaman[ID], 0))</f>
        <v>RO_SMB</v>
      </c>
      <c r="E168" s="8">
        <v>45931</v>
      </c>
      <c r="F168" s="40" t="str">
        <f>TEXT(Cicilan[[#This Row],[Periode Gaji]],"yyy-mm")</f>
        <v>2025-10</v>
      </c>
      <c r="G168" s="10">
        <v>1500000</v>
      </c>
      <c r="H168" s="7" t="s">
        <v>110</v>
      </c>
      <c r="I168" s="7" t="s">
        <v>72</v>
      </c>
    </row>
    <row r="169" spans="2:9" x14ac:dyDescent="0.25">
      <c r="B169" s="7" t="s">
        <v>90</v>
      </c>
      <c r="C169" s="7" t="str">
        <f>INDEX(Pinjaman[Nama],MATCH(B169,Pinjaman[ID], 0))</f>
        <v>LAFU</v>
      </c>
      <c r="D169" s="7" t="str">
        <f>INDEX(Pinjaman[Cabang],MATCH(B169,Pinjaman[ID], 0))</f>
        <v>RO_SMB</v>
      </c>
      <c r="E169" s="8">
        <v>45931</v>
      </c>
      <c r="F169" s="40" t="str">
        <f>TEXT(Cicilan[[#This Row],[Periode Gaji]],"yyy-mm")</f>
        <v>2025-10</v>
      </c>
      <c r="G169" s="10">
        <v>500000</v>
      </c>
      <c r="H169" s="7" t="s">
        <v>110</v>
      </c>
      <c r="I169" s="7" t="s">
        <v>72</v>
      </c>
    </row>
    <row r="170" spans="2:9" x14ac:dyDescent="0.25">
      <c r="B170" s="7" t="s">
        <v>91</v>
      </c>
      <c r="C170" s="7" t="str">
        <f>INDEX(Pinjaman[Nama],MATCH(B170,Pinjaman[ID], 0))</f>
        <v>ARAHAN</v>
      </c>
      <c r="D170" s="7" t="str">
        <f>INDEX(Pinjaman[Cabang],MATCH(B170,Pinjaman[ID], 0))</f>
        <v>RO_SMB</v>
      </c>
      <c r="E170" s="8">
        <v>45931</v>
      </c>
      <c r="F170" s="40" t="str">
        <f>TEXT(Cicilan[[#This Row],[Periode Gaji]],"yyy-mm")</f>
        <v>2025-10</v>
      </c>
      <c r="G170" s="10">
        <v>1500000</v>
      </c>
      <c r="H170" s="7" t="s">
        <v>110</v>
      </c>
      <c r="I170" s="7" t="s">
        <v>72</v>
      </c>
    </row>
    <row r="171" spans="2:9" x14ac:dyDescent="0.25">
      <c r="B171" s="7" t="s">
        <v>92</v>
      </c>
      <c r="C171" s="7" t="str">
        <f>INDEX(Pinjaman[Nama],MATCH(B171,Pinjaman[ID], 0))</f>
        <v>HAE</v>
      </c>
      <c r="D171" s="7" t="str">
        <f>INDEX(Pinjaman[Cabang],MATCH(B171,Pinjaman[ID], 0))</f>
        <v>RO_SMB</v>
      </c>
      <c r="E171" s="8">
        <v>45931</v>
      </c>
      <c r="F171" s="40" t="str">
        <f>TEXT(Cicilan[[#This Row],[Periode Gaji]],"yyy-mm")</f>
        <v>2025-10</v>
      </c>
      <c r="G171" s="10">
        <v>500000</v>
      </c>
      <c r="H171" s="7" t="s">
        <v>110</v>
      </c>
      <c r="I171" s="7" t="s">
        <v>72</v>
      </c>
    </row>
    <row r="172" spans="2:9" x14ac:dyDescent="0.25">
      <c r="B172" s="7" t="s">
        <v>96</v>
      </c>
      <c r="C172" s="7" t="str">
        <f>INDEX(Pinjaman[Nama],MATCH(B172,Pinjaman[ID], 0))</f>
        <v>RIVAL</v>
      </c>
      <c r="D172" s="7" t="str">
        <f>INDEX(Pinjaman[Cabang],MATCH(B172,Pinjaman[ID], 0))</f>
        <v>Payroll_SMB</v>
      </c>
      <c r="E172" s="8">
        <v>45931</v>
      </c>
      <c r="F172" s="40" t="str">
        <f>TEXT(Cicilan[[#This Row],[Periode Gaji]],"yyy-mm")</f>
        <v>2025-10</v>
      </c>
      <c r="G172" s="10">
        <v>5000000</v>
      </c>
      <c r="H172" s="7" t="s">
        <v>110</v>
      </c>
      <c r="I172" s="7" t="s">
        <v>72</v>
      </c>
    </row>
    <row r="173" spans="2:9" x14ac:dyDescent="0.25">
      <c r="B173" s="7" t="s">
        <v>97</v>
      </c>
      <c r="C173" s="7" t="str">
        <f>INDEX(Pinjaman[Nama],MATCH(B173,Pinjaman[ID], 0))</f>
        <v>ANSYAH</v>
      </c>
      <c r="D173" s="7" t="str">
        <f>INDEX(Pinjaman[Cabang],MATCH(B173,Pinjaman[ID], 0))</f>
        <v>Payroll_SMB</v>
      </c>
      <c r="E173" s="8">
        <v>45931</v>
      </c>
      <c r="F173" s="40" t="str">
        <f>TEXT(Cicilan[[#This Row],[Periode Gaji]],"yyy-mm")</f>
        <v>2025-10</v>
      </c>
      <c r="G173" s="10">
        <v>1500000</v>
      </c>
      <c r="H173" s="7" t="s">
        <v>110</v>
      </c>
      <c r="I173" s="7" t="s">
        <v>72</v>
      </c>
    </row>
    <row r="174" spans="2:9" x14ac:dyDescent="0.25">
      <c r="B174" s="7" t="s">
        <v>113</v>
      </c>
      <c r="C174" s="7" t="str">
        <f>INDEX(Pinjaman[Nama],MATCH(B174,Pinjaman[ID], 0))</f>
        <v>ISHAQ</v>
      </c>
      <c r="D174" s="7" t="str">
        <f>INDEX(Pinjaman[Cabang],MATCH(B174,Pinjaman[ID], 0))</f>
        <v>Payroll_SMB</v>
      </c>
      <c r="E174" s="8">
        <v>45931</v>
      </c>
      <c r="F174" s="40" t="str">
        <f>TEXT(Cicilan[[#This Row],[Periode Gaji]],"yyy-mm")</f>
        <v>2025-10</v>
      </c>
      <c r="G174" s="10">
        <v>2500000</v>
      </c>
      <c r="H174" s="7" t="s">
        <v>110</v>
      </c>
      <c r="I174" s="7" t="s">
        <v>72</v>
      </c>
    </row>
    <row r="175" spans="2:9" x14ac:dyDescent="0.25">
      <c r="B175" s="7" t="s">
        <v>116</v>
      </c>
      <c r="C175" s="7" t="str">
        <f>INDEX(Pinjaman[Nama],MATCH(B175,Pinjaman[ID], 0))</f>
        <v>ALVI</v>
      </c>
      <c r="D175" s="7" t="str">
        <f>INDEX(Pinjaman[Cabang],MATCH(B175,Pinjaman[ID], 0))</f>
        <v>RO_SMB</v>
      </c>
      <c r="E175" s="8">
        <v>45931</v>
      </c>
      <c r="F175" s="40" t="str">
        <f>TEXT(Cicilan[[#This Row],[Periode Gaji]],"yyy-mm")</f>
        <v>2025-10</v>
      </c>
      <c r="G175" s="10">
        <v>2000000</v>
      </c>
      <c r="H175" s="7" t="s">
        <v>110</v>
      </c>
      <c r="I175" s="7" t="s">
        <v>72</v>
      </c>
    </row>
    <row r="176" spans="2:9" x14ac:dyDescent="0.25">
      <c r="B176" s="7" t="s">
        <v>121</v>
      </c>
      <c r="C176" s="7" t="str">
        <f>INDEX(Pinjaman[Nama],MATCH(B176,Pinjaman[ID], 0))</f>
        <v>UMBUBA</v>
      </c>
      <c r="D176" s="7" t="str">
        <f>INDEX(Pinjaman[Cabang],MATCH(B176,Pinjaman[ID], 0))</f>
        <v>RO_SMB</v>
      </c>
      <c r="E176" s="8">
        <v>45931</v>
      </c>
      <c r="F176" s="40" t="str">
        <f>TEXT(Cicilan[[#This Row],[Periode Gaji]],"yyy-mm")</f>
        <v>2025-10</v>
      </c>
      <c r="G176" s="10">
        <v>1000000</v>
      </c>
      <c r="H176" s="7" t="s">
        <v>110</v>
      </c>
      <c r="I176" s="7" t="s">
        <v>72</v>
      </c>
    </row>
    <row r="177" spans="2:9" x14ac:dyDescent="0.25">
      <c r="B177" s="7" t="s">
        <v>67</v>
      </c>
      <c r="C177" s="7" t="str">
        <f>INDEX(Pinjaman[Nama],MATCH(B177,Pinjaman[ID], 0))</f>
        <v>BERKAH</v>
      </c>
      <c r="D177" s="7" t="str">
        <f>INDEX(Pinjaman[Cabang],MATCH(B177,Pinjaman[ID], 0))</f>
        <v>HO</v>
      </c>
      <c r="E177" s="8">
        <v>45931</v>
      </c>
      <c r="F177" s="40" t="str">
        <f>TEXT(Cicilan[[#This Row],[Periode Gaji]],"yyy-mm")</f>
        <v>2025-10</v>
      </c>
      <c r="G177" s="10">
        <v>500000</v>
      </c>
      <c r="H177" s="7" t="s">
        <v>110</v>
      </c>
      <c r="I177" s="7" t="s">
        <v>72</v>
      </c>
    </row>
    <row r="178" spans="2:9" x14ac:dyDescent="0.25">
      <c r="B178" s="7" t="s">
        <v>69</v>
      </c>
      <c r="C178" s="7" t="str">
        <f>INDEX(Pinjaman[Nama],MATCH(B178,Pinjaman[ID], 0))</f>
        <v>GHANA</v>
      </c>
      <c r="D178" s="7" t="str">
        <f>INDEX(Pinjaman[Cabang],MATCH(B178,Pinjaman[ID], 0))</f>
        <v>HO</v>
      </c>
      <c r="E178" s="8">
        <v>45931</v>
      </c>
      <c r="F178" s="40" t="str">
        <f>TEXT(Cicilan[[#This Row],[Periode Gaji]],"yyy-mm")</f>
        <v>2025-10</v>
      </c>
      <c r="G178" s="10">
        <v>500000</v>
      </c>
      <c r="H178" s="7" t="s">
        <v>110</v>
      </c>
      <c r="I178" s="7" t="s">
        <v>72</v>
      </c>
    </row>
    <row r="179" spans="2:9" x14ac:dyDescent="0.25">
      <c r="B179" s="7" t="s">
        <v>11</v>
      </c>
      <c r="C179" s="7" t="str">
        <f>INDEX(Pinjaman[Nama],MATCH(B179,Pinjaman[ID], 0))</f>
        <v>JANA</v>
      </c>
      <c r="D179" s="7" t="str">
        <f>INDEX(Pinjaman[Cabang],MATCH(B179,Pinjaman[ID], 0))</f>
        <v>RO_SSL</v>
      </c>
      <c r="E179" s="8">
        <v>45931</v>
      </c>
      <c r="F179" s="40" t="str">
        <f>TEXT(Cicilan[[#This Row],[Periode Gaji]],"yyy-mm")</f>
        <v>2025-10</v>
      </c>
      <c r="G179" s="10">
        <v>75000</v>
      </c>
      <c r="H179" s="7" t="s">
        <v>110</v>
      </c>
      <c r="I179" s="7" t="s">
        <v>72</v>
      </c>
    </row>
    <row r="180" spans="2:9" x14ac:dyDescent="0.25">
      <c r="B180" s="7" t="s">
        <v>111</v>
      </c>
      <c r="C180" s="7" t="str">
        <f>INDEX(Pinjaman[Nama],MATCH(B180,Pinjaman[ID], 0))</f>
        <v>DEDEN</v>
      </c>
      <c r="D180" s="7" t="str">
        <f>INDEX(Pinjaman[Cabang],MATCH(B180,Pinjaman[ID], 0))</f>
        <v>RO_SSL</v>
      </c>
      <c r="E180" s="8">
        <v>45931</v>
      </c>
      <c r="F180" s="40" t="str">
        <f>TEXT(Cicilan[[#This Row],[Periode Gaji]],"yyy-mm")</f>
        <v>2025-10</v>
      </c>
      <c r="G180" s="10">
        <v>500000</v>
      </c>
      <c r="H180" s="7" t="s">
        <v>110</v>
      </c>
      <c r="I180" s="7" t="s">
        <v>72</v>
      </c>
    </row>
    <row r="181" spans="2:9" x14ac:dyDescent="0.25">
      <c r="B181" s="7" t="s">
        <v>21</v>
      </c>
      <c r="C181" s="7" t="str">
        <f>INDEX(Pinjaman[Nama],MATCH(B181,Pinjaman[ID], 0))</f>
        <v>ALIBA</v>
      </c>
      <c r="D181" s="7" t="str">
        <f>INDEX(Pinjaman[Cabang],MATCH(B181,Pinjaman[ID], 0))</f>
        <v>SIPIL</v>
      </c>
      <c r="E181" s="8">
        <v>45931</v>
      </c>
      <c r="F181" s="40" t="str">
        <f>TEXT(Cicilan[[#This Row],[Periode Gaji]],"yyy-mm")</f>
        <v>2025-10</v>
      </c>
      <c r="G181" s="10">
        <v>750000</v>
      </c>
      <c r="H181" s="7" t="s">
        <v>110</v>
      </c>
      <c r="I181" s="7" t="s">
        <v>72</v>
      </c>
    </row>
    <row r="182" spans="2:9" x14ac:dyDescent="0.25">
      <c r="B182" s="7" t="s">
        <v>138</v>
      </c>
      <c r="C182" s="7" t="str">
        <f>INDEX(Pinjaman[Nama],MATCH(B182,Pinjaman[ID], 0))</f>
        <v>YANTONO</v>
      </c>
      <c r="D182" s="7" t="str">
        <f>INDEX(Pinjaman[Cabang],MATCH(B182,Pinjaman[ID], 0))</f>
        <v>Payroll_SMB</v>
      </c>
      <c r="E182" s="8">
        <v>45962</v>
      </c>
      <c r="F182" s="40" t="str">
        <f>TEXT(Cicilan[[#This Row],[Periode Gaji]],"yyy-mm")</f>
        <v>2025-11</v>
      </c>
      <c r="G182" s="10">
        <v>750000</v>
      </c>
      <c r="H182" s="7" t="s">
        <v>98</v>
      </c>
      <c r="I182" s="7" t="s">
        <v>72</v>
      </c>
    </row>
    <row r="183" spans="2:9" x14ac:dyDescent="0.25">
      <c r="B183" s="7" t="s">
        <v>21</v>
      </c>
      <c r="C183" s="7" t="str">
        <f>INDEX(Pinjaman[Nama],MATCH(B183,Pinjaman[ID], 0))</f>
        <v>ALIBA</v>
      </c>
      <c r="D183" s="7" t="str">
        <f>INDEX(Pinjaman[Cabang],MATCH(B183,Pinjaman[ID], 0))</f>
        <v>SIPIL</v>
      </c>
      <c r="E183" s="8">
        <v>45962</v>
      </c>
      <c r="F183" s="40" t="str">
        <f>TEXT(Cicilan[[#This Row],[Periode Gaji]],"yyy-mm")</f>
        <v>2025-11</v>
      </c>
      <c r="G183" s="10">
        <v>750000</v>
      </c>
      <c r="H183" s="7" t="s">
        <v>98</v>
      </c>
      <c r="I183" s="7" t="s">
        <v>72</v>
      </c>
    </row>
    <row r="184" spans="2:9" x14ac:dyDescent="0.25">
      <c r="B184" s="7" t="s">
        <v>53</v>
      </c>
      <c r="C184" s="7" t="str">
        <f>INDEX(Pinjaman[Nama],MATCH(B184,Pinjaman[ID], 0))</f>
        <v>NOPI</v>
      </c>
      <c r="D184" s="7" t="str">
        <f>INDEX(Pinjaman[Cabang],MATCH(B184,Pinjaman[ID], 0))</f>
        <v>Payroll_SMB</v>
      </c>
      <c r="E184" s="8">
        <v>45962</v>
      </c>
      <c r="F184" s="40" t="str">
        <f>TEXT(Cicilan[[#This Row],[Periode Gaji]],"yyy-mm")</f>
        <v>2025-11</v>
      </c>
      <c r="G184" s="10">
        <v>1000000</v>
      </c>
      <c r="H184" s="7" t="s">
        <v>98</v>
      </c>
      <c r="I184" s="7" t="s">
        <v>72</v>
      </c>
    </row>
    <row r="185" spans="2:9" x14ac:dyDescent="0.25">
      <c r="B185" s="7" t="s">
        <v>54</v>
      </c>
      <c r="C185" s="7" t="str">
        <f>INDEX(Pinjaman[Nama],MATCH(B185,Pinjaman[ID], 0))</f>
        <v>LARA</v>
      </c>
      <c r="D185" s="7" t="str">
        <f>INDEX(Pinjaman[Cabang],MATCH(B185,Pinjaman[ID], 0))</f>
        <v>RO_SMB</v>
      </c>
      <c r="E185" s="8">
        <v>45962</v>
      </c>
      <c r="F185" s="40" t="str">
        <f>TEXT(Cicilan[[#This Row],[Periode Gaji]],"yyy-mm")</f>
        <v>2025-11</v>
      </c>
      <c r="G185" s="10">
        <v>1000000</v>
      </c>
      <c r="H185" s="7" t="s">
        <v>98</v>
      </c>
      <c r="I185" s="7" t="s">
        <v>72</v>
      </c>
    </row>
    <row r="186" spans="2:9" x14ac:dyDescent="0.25">
      <c r="B186" s="7" t="s">
        <v>67</v>
      </c>
      <c r="C186" s="7" t="str">
        <f>INDEX(Pinjaman[Nama],MATCH(B186,Pinjaman[ID], 0))</f>
        <v>BERKAH</v>
      </c>
      <c r="D186" s="7" t="str">
        <f>INDEX(Pinjaman[Cabang],MATCH(B186,Pinjaman[ID], 0))</f>
        <v>HO</v>
      </c>
      <c r="E186" s="8">
        <v>45962</v>
      </c>
      <c r="F186" s="40" t="str">
        <f>TEXT(Cicilan[[#This Row],[Periode Gaji]],"yyy-mm")</f>
        <v>2025-11</v>
      </c>
      <c r="G186" s="10">
        <v>500000</v>
      </c>
      <c r="H186" s="7" t="s">
        <v>98</v>
      </c>
      <c r="I186" s="7" t="s">
        <v>72</v>
      </c>
    </row>
    <row r="187" spans="2:9" x14ac:dyDescent="0.25">
      <c r="B187" s="7" t="s">
        <v>69</v>
      </c>
      <c r="C187" s="7" t="str">
        <f>INDEX(Pinjaman[Nama],MATCH(B187,Pinjaman[ID], 0))</f>
        <v>GHANA</v>
      </c>
      <c r="D187" s="7" t="str">
        <f>INDEX(Pinjaman[Cabang],MATCH(B187,Pinjaman[ID], 0))</f>
        <v>HO</v>
      </c>
      <c r="E187" s="8">
        <v>45962</v>
      </c>
      <c r="F187" s="40" t="str">
        <f>TEXT(Cicilan[[#This Row],[Periode Gaji]],"yyy-mm")</f>
        <v>2025-11</v>
      </c>
      <c r="G187" s="10">
        <v>500000</v>
      </c>
      <c r="H187" s="7" t="s">
        <v>98</v>
      </c>
      <c r="I187" s="7" t="s">
        <v>72</v>
      </c>
    </row>
    <row r="188" spans="2:9" x14ac:dyDescent="0.25">
      <c r="B188" s="7" t="s">
        <v>92</v>
      </c>
      <c r="C188" s="7" t="str">
        <f>INDEX(Pinjaman[Nama],MATCH(B188,Pinjaman[ID], 0))</f>
        <v>HAE</v>
      </c>
      <c r="D188" s="7" t="str">
        <f>INDEX(Pinjaman[Cabang],MATCH(B188,Pinjaman[ID], 0))</f>
        <v>RO_SMB</v>
      </c>
      <c r="E188" s="8">
        <v>45962</v>
      </c>
      <c r="F188" s="40" t="str">
        <f>TEXT(Cicilan[[#This Row],[Periode Gaji]],"yyy-mm")</f>
        <v>2025-11</v>
      </c>
      <c r="G188" s="10">
        <v>500000</v>
      </c>
      <c r="H188" s="7" t="s">
        <v>98</v>
      </c>
      <c r="I188" s="7" t="s">
        <v>72</v>
      </c>
    </row>
    <row r="189" spans="2:9" x14ac:dyDescent="0.25">
      <c r="B189" s="7" t="s">
        <v>96</v>
      </c>
      <c r="C189" s="7" t="str">
        <f>INDEX(Pinjaman[Nama],MATCH(B189,Pinjaman[ID], 0))</f>
        <v>RIVAL</v>
      </c>
      <c r="D189" s="7" t="str">
        <f>INDEX(Pinjaman[Cabang],MATCH(B189,Pinjaman[ID], 0))</f>
        <v>Payroll_SMB</v>
      </c>
      <c r="E189" s="8">
        <v>45962</v>
      </c>
      <c r="F189" s="40" t="str">
        <f>TEXT(Cicilan[[#This Row],[Periode Gaji]],"yyy-mm")</f>
        <v>2025-11</v>
      </c>
      <c r="G189" s="10">
        <v>5000000</v>
      </c>
      <c r="H189" s="7" t="s">
        <v>98</v>
      </c>
      <c r="I189" s="7" t="s">
        <v>72</v>
      </c>
    </row>
    <row r="190" spans="2:9" x14ac:dyDescent="0.25">
      <c r="B190" s="7" t="s">
        <v>97</v>
      </c>
      <c r="C190" s="7" t="str">
        <f>INDEX(Pinjaman[Nama],MATCH(B190,Pinjaman[ID], 0))</f>
        <v>ANSYAH</v>
      </c>
      <c r="D190" s="7" t="str">
        <f>INDEX(Pinjaman[Cabang],MATCH(B190,Pinjaman[ID], 0))</f>
        <v>Payroll_SMB</v>
      </c>
      <c r="E190" s="8">
        <v>45962</v>
      </c>
      <c r="F190" s="40" t="str">
        <f>TEXT(Cicilan[[#This Row],[Periode Gaji]],"yyy-mm")</f>
        <v>2025-11</v>
      </c>
      <c r="G190" s="10">
        <v>1500000</v>
      </c>
      <c r="H190" s="7" t="s">
        <v>98</v>
      </c>
      <c r="I190" s="7" t="s">
        <v>72</v>
      </c>
    </row>
    <row r="191" spans="2:9" x14ac:dyDescent="0.25">
      <c r="B191" s="7" t="s">
        <v>111</v>
      </c>
      <c r="C191" s="7" t="str">
        <f>INDEX(Pinjaman[Nama],MATCH(B191,Pinjaman[ID], 0))</f>
        <v>DEDEN</v>
      </c>
      <c r="D191" s="7" t="str">
        <f>INDEX(Pinjaman[Cabang],MATCH(B191,Pinjaman[ID], 0))</f>
        <v>RO_SSL</v>
      </c>
      <c r="E191" s="8">
        <v>45962</v>
      </c>
      <c r="F191" s="40" t="str">
        <f>TEXT(Cicilan[[#This Row],[Periode Gaji]],"yyy-mm")</f>
        <v>2025-11</v>
      </c>
      <c r="G191" s="10">
        <v>500000</v>
      </c>
      <c r="H191" s="7" t="s">
        <v>98</v>
      </c>
      <c r="I191" s="7" t="s">
        <v>72</v>
      </c>
    </row>
    <row r="192" spans="2:9" x14ac:dyDescent="0.25">
      <c r="B192" s="7" t="s">
        <v>115</v>
      </c>
      <c r="C192" s="7" t="str">
        <f>INDEX(Pinjaman[Nama],MATCH(B192,Pinjaman[ID], 0))</f>
        <v>ANDIKA</v>
      </c>
      <c r="D192" s="7" t="str">
        <f>INDEX(Pinjaman[Cabang],MATCH(B192,Pinjaman[ID], 0))</f>
        <v>SAP</v>
      </c>
      <c r="E192" s="8">
        <v>45962</v>
      </c>
      <c r="F192" s="40" t="str">
        <f>TEXT(Cicilan[[#This Row],[Periode Gaji]],"yyy-mm")</f>
        <v>2025-11</v>
      </c>
      <c r="G192" s="10">
        <v>1000000</v>
      </c>
      <c r="H192" s="7" t="s">
        <v>98</v>
      </c>
      <c r="I192" s="7" t="s">
        <v>72</v>
      </c>
    </row>
    <row r="193" spans="2:9" x14ac:dyDescent="0.25">
      <c r="B193" s="7" t="s">
        <v>121</v>
      </c>
      <c r="C193" s="7" t="str">
        <f>INDEX(Pinjaman[Nama],MATCH(B193,Pinjaman[ID], 0))</f>
        <v>UMBUBA</v>
      </c>
      <c r="D193" s="7" t="str">
        <f>INDEX(Pinjaman[Cabang],MATCH(B193,Pinjaman[ID], 0))</f>
        <v>RO_SMB</v>
      </c>
      <c r="E193" s="8">
        <v>45962</v>
      </c>
      <c r="F193" s="40" t="str">
        <f>TEXT(Cicilan[[#This Row],[Periode Gaji]],"yyy-mm")</f>
        <v>2025-11</v>
      </c>
      <c r="G193" s="10">
        <v>1000000</v>
      </c>
      <c r="H193" s="7" t="s">
        <v>98</v>
      </c>
      <c r="I193" s="7" t="s">
        <v>72</v>
      </c>
    </row>
    <row r="194" spans="2:9" x14ac:dyDescent="0.25">
      <c r="B194" s="7" t="s">
        <v>122</v>
      </c>
      <c r="C194" s="7" t="str">
        <f>INDEX(Pinjaman[Nama],MATCH(B194,Pinjaman[ID], 0))</f>
        <v>LANIA</v>
      </c>
      <c r="D194" s="7" t="str">
        <f>INDEX(Pinjaman[Cabang],MATCH(B194,Pinjaman[ID], 0))</f>
        <v>SSL</v>
      </c>
      <c r="E194" s="8">
        <v>45962</v>
      </c>
      <c r="F194" s="40" t="str">
        <f>TEXT(Cicilan[[#This Row],[Periode Gaji]],"yyy-mm")</f>
        <v>2025-11</v>
      </c>
      <c r="G194" s="10">
        <v>1000000</v>
      </c>
      <c r="H194" s="7" t="s">
        <v>98</v>
      </c>
      <c r="I194" s="7" t="s">
        <v>72</v>
      </c>
    </row>
    <row r="195" spans="2:9" x14ac:dyDescent="0.25">
      <c r="B195" s="7" t="s">
        <v>132</v>
      </c>
      <c r="C195" s="7" t="str">
        <f>INDEX(Pinjaman[Nama],MATCH(B195,Pinjaman[ID], 0))</f>
        <v>SETIA</v>
      </c>
      <c r="D195" s="7" t="str">
        <f>INDEX(Pinjaman[Cabang],MATCH(B195,Pinjaman[ID], 0))</f>
        <v>SAP</v>
      </c>
      <c r="E195" s="8">
        <v>45962</v>
      </c>
      <c r="F195" s="40" t="str">
        <f>TEXT(Cicilan[[#This Row],[Periode Gaji]],"yyy-mm")</f>
        <v>2025-11</v>
      </c>
      <c r="G195" s="10">
        <v>500000</v>
      </c>
      <c r="H195" s="7" t="s">
        <v>98</v>
      </c>
      <c r="I195" s="7" t="s">
        <v>72</v>
      </c>
    </row>
    <row r="196" spans="2:9" x14ac:dyDescent="0.25">
      <c r="B196" s="7" t="s">
        <v>134</v>
      </c>
      <c r="C196" s="7" t="str">
        <f>INDEX(Pinjaman[Nama],MATCH(B196,Pinjaman[ID], 0))</f>
        <v>TRI YANTO</v>
      </c>
      <c r="D196" s="7" t="str">
        <f>INDEX(Pinjaman[Cabang],MATCH(B196,Pinjaman[ID], 0))</f>
        <v>SSL</v>
      </c>
      <c r="E196" s="8">
        <v>45962</v>
      </c>
      <c r="F196" s="40" t="str">
        <f>TEXT(Cicilan[[#This Row],[Periode Gaji]],"yyy-mm")</f>
        <v>2025-11</v>
      </c>
      <c r="G196" s="10">
        <v>1000000</v>
      </c>
      <c r="H196" s="7" t="s">
        <v>98</v>
      </c>
      <c r="I196" s="7" t="s">
        <v>72</v>
      </c>
    </row>
    <row r="197" spans="2:9" x14ac:dyDescent="0.25">
      <c r="B197" s="7" t="s">
        <v>135</v>
      </c>
      <c r="C197" s="7" t="str">
        <f>INDEX(Pinjaman[Nama],MATCH(B197,Pinjaman[ID], 0))</f>
        <v>GORDON</v>
      </c>
      <c r="D197" s="7" t="str">
        <f>INDEX(Pinjaman[Cabang],MATCH(B197,Pinjaman[ID], 0))</f>
        <v>PPA</v>
      </c>
      <c r="E197" s="8">
        <v>45962</v>
      </c>
      <c r="F197" s="40" t="str">
        <f>TEXT(Cicilan[[#This Row],[Periode Gaji]],"yyy-mm")</f>
        <v>2025-11</v>
      </c>
      <c r="G197" s="10">
        <v>2000000</v>
      </c>
      <c r="H197" s="7" t="s">
        <v>98</v>
      </c>
      <c r="I197" s="7" t="s">
        <v>72</v>
      </c>
    </row>
    <row r="198" spans="2:9" x14ac:dyDescent="0.25">
      <c r="B198" s="7" t="s">
        <v>136</v>
      </c>
      <c r="C198" s="7" t="str">
        <f>INDEX(Pinjaman[Nama],MATCH(B198,Pinjaman[ID], 0))</f>
        <v>PUTRAKU</v>
      </c>
      <c r="D198" s="7" t="str">
        <f>INDEX(Pinjaman[Cabang],MATCH(B198,Pinjaman[ID], 0))</f>
        <v>PPA</v>
      </c>
      <c r="E198" s="8">
        <v>45962</v>
      </c>
      <c r="F198" s="40" t="str">
        <f>TEXT(Cicilan[[#This Row],[Periode Gaji]],"yyy-mm")</f>
        <v>2025-11</v>
      </c>
      <c r="G198" s="10">
        <v>1000000</v>
      </c>
      <c r="H198" s="7" t="s">
        <v>98</v>
      </c>
      <c r="I198" s="7" t="s">
        <v>72</v>
      </c>
    </row>
    <row r="199" spans="2:9" x14ac:dyDescent="0.25">
      <c r="B199" s="7" t="s">
        <v>137</v>
      </c>
      <c r="C199" s="7" t="str">
        <f>INDEX(Pinjaman[Nama],MATCH(B199,Pinjaman[ID], 0))</f>
        <v>RATANA</v>
      </c>
      <c r="D199" s="7" t="str">
        <f>INDEX(Pinjaman[Cabang],MATCH(B199,Pinjaman[ID], 0))</f>
        <v>RO_SMB</v>
      </c>
      <c r="E199" s="8">
        <v>45962</v>
      </c>
      <c r="F199" s="40" t="str">
        <f>TEXT(Cicilan[[#This Row],[Periode Gaji]],"yyy-mm")</f>
        <v>2025-11</v>
      </c>
      <c r="G199" s="10">
        <v>500000</v>
      </c>
      <c r="H199" s="7" t="s">
        <v>98</v>
      </c>
      <c r="I199" s="7" t="s">
        <v>72</v>
      </c>
    </row>
    <row r="200" spans="2:9" x14ac:dyDescent="0.25">
      <c r="B200" s="7" t="s">
        <v>142</v>
      </c>
      <c r="C200" s="7" t="str">
        <f>INDEX(Pinjaman[Nama],MATCH(B200,Pinjaman[ID], 0))</f>
        <v>SUKIMAN</v>
      </c>
      <c r="D200" s="7" t="str">
        <f>INDEX(Pinjaman[Cabang],MATCH(B200,Pinjaman[ID], 0))</f>
        <v>SSL</v>
      </c>
      <c r="E200" s="8">
        <v>45962</v>
      </c>
      <c r="F200" s="40" t="str">
        <f>TEXT(Cicilan[[#This Row],[Periode Gaji]],"yyy-mm")</f>
        <v>2025-11</v>
      </c>
      <c r="G200" s="10">
        <v>1000000</v>
      </c>
      <c r="H200" s="7" t="s">
        <v>98</v>
      </c>
      <c r="I200" s="7" t="s">
        <v>72</v>
      </c>
    </row>
    <row r="201" spans="2:9" x14ac:dyDescent="0.25">
      <c r="B201" s="7" t="s">
        <v>143</v>
      </c>
      <c r="C201" s="7" t="str">
        <f>INDEX(Pinjaman[Nama],MATCH(B201,Pinjaman[ID], 0))</f>
        <v>HERRY</v>
      </c>
      <c r="D201" s="7" t="str">
        <f>INDEX(Pinjaman[Cabang],MATCH(B201,Pinjaman[ID], 0))</f>
        <v>SAP</v>
      </c>
      <c r="E201" s="8">
        <v>45962</v>
      </c>
      <c r="F201" s="40" t="str">
        <f>TEXT(Cicilan[[#This Row],[Periode Gaji]],"yyy-mm")</f>
        <v>2025-11</v>
      </c>
      <c r="G201" s="10">
        <v>3000000</v>
      </c>
      <c r="H201" s="7" t="s">
        <v>98</v>
      </c>
      <c r="I201" s="7" t="s">
        <v>72</v>
      </c>
    </row>
    <row r="202" spans="2:9" x14ac:dyDescent="0.25">
      <c r="B202" s="7" t="s">
        <v>21</v>
      </c>
      <c r="C202" s="7" t="str">
        <f>INDEX(Pinjaman[Nama],MATCH(B202,Pinjaman[ID], 0))</f>
        <v>ALIBA</v>
      </c>
      <c r="D202" s="7" t="str">
        <f>INDEX(Pinjaman[Cabang],MATCH(B202,Pinjaman[ID], 0))</f>
        <v>SIPIL</v>
      </c>
      <c r="E202" s="8">
        <v>45992</v>
      </c>
      <c r="F202" s="40" t="str">
        <f>TEXT(Cicilan[[#This Row],[Periode Gaji]],"yyy-mm")</f>
        <v>2025-12</v>
      </c>
      <c r="G202" s="10">
        <v>750000</v>
      </c>
      <c r="H202" s="7" t="s">
        <v>99</v>
      </c>
      <c r="I202" s="7" t="s">
        <v>73</v>
      </c>
    </row>
    <row r="203" spans="2:9" x14ac:dyDescent="0.25">
      <c r="B203" s="7" t="s">
        <v>53</v>
      </c>
      <c r="C203" s="7" t="str">
        <f>INDEX(Pinjaman[Nama],MATCH(B203,Pinjaman[ID], 0))</f>
        <v>NOPI</v>
      </c>
      <c r="D203" s="7" t="str">
        <f>INDEX(Pinjaman[Cabang],MATCH(B203,Pinjaman[ID], 0))</f>
        <v>Payroll_SMB</v>
      </c>
      <c r="E203" s="8">
        <v>45992</v>
      </c>
      <c r="F203" s="40" t="str">
        <f>TEXT(Cicilan[[#This Row],[Periode Gaji]],"yyy-mm")</f>
        <v>2025-12</v>
      </c>
      <c r="G203" s="10">
        <v>1000000</v>
      </c>
      <c r="H203" s="7" t="s">
        <v>99</v>
      </c>
      <c r="I203" s="7" t="s">
        <v>73</v>
      </c>
    </row>
    <row r="204" spans="2:9" x14ac:dyDescent="0.25">
      <c r="B204" s="7" t="s">
        <v>67</v>
      </c>
      <c r="C204" s="7" t="str">
        <f>INDEX(Pinjaman[Nama],MATCH(B204,Pinjaman[ID], 0))</f>
        <v>BERKAH</v>
      </c>
      <c r="D204" s="7" t="str">
        <f>INDEX(Pinjaman[Cabang],MATCH(B204,Pinjaman[ID], 0))</f>
        <v>HO</v>
      </c>
      <c r="E204" s="8">
        <v>45992</v>
      </c>
      <c r="F204" s="40" t="str">
        <f>TEXT(Cicilan[[#This Row],[Periode Gaji]],"yyy-mm")</f>
        <v>2025-12</v>
      </c>
      <c r="G204" s="10">
        <v>500000</v>
      </c>
      <c r="H204" s="7" t="s">
        <v>99</v>
      </c>
      <c r="I204" s="7" t="s">
        <v>73</v>
      </c>
    </row>
    <row r="205" spans="2:9" x14ac:dyDescent="0.25">
      <c r="B205" s="7" t="s">
        <v>111</v>
      </c>
      <c r="C205" s="7" t="str">
        <f>INDEX(Pinjaman[Nama],MATCH(B205,Pinjaman[ID], 0))</f>
        <v>DEDEN</v>
      </c>
      <c r="D205" s="7" t="str">
        <f>INDEX(Pinjaman[Cabang],MATCH(B205,Pinjaman[ID], 0))</f>
        <v>RO_SSL</v>
      </c>
      <c r="E205" s="8">
        <v>45992</v>
      </c>
      <c r="F205" s="40" t="str">
        <f>TEXT(Cicilan[[#This Row],[Periode Gaji]],"yyy-mm")</f>
        <v>2025-12</v>
      </c>
      <c r="G205" s="10">
        <v>500000</v>
      </c>
      <c r="H205" s="7" t="s">
        <v>99</v>
      </c>
      <c r="I205" s="7" t="s">
        <v>73</v>
      </c>
    </row>
    <row r="206" spans="2:9" x14ac:dyDescent="0.25">
      <c r="B206" s="7" t="s">
        <v>127</v>
      </c>
      <c r="C206" s="7" t="str">
        <f>INDEX(Pinjaman[Nama],MATCH(B206,Pinjaman[ID], 0))</f>
        <v xml:space="preserve">JAWANA </v>
      </c>
      <c r="D206" s="7" t="str">
        <f>INDEX(Pinjaman[Cabang],MATCH(B206,Pinjaman[ID], 0))</f>
        <v>Payroll_SMB</v>
      </c>
      <c r="E206" s="8">
        <v>45992</v>
      </c>
      <c r="F206" s="40" t="str">
        <f>TEXT(Cicilan[[#This Row],[Periode Gaji]],"yyy-mm")</f>
        <v>2025-12</v>
      </c>
      <c r="G206" s="10">
        <v>1000000</v>
      </c>
      <c r="H206" s="7" t="s">
        <v>99</v>
      </c>
      <c r="I206" s="7" t="s">
        <v>73</v>
      </c>
    </row>
    <row r="207" spans="2:9" x14ac:dyDescent="0.25">
      <c r="B207" s="7" t="s">
        <v>132</v>
      </c>
      <c r="C207" s="7" t="str">
        <f>INDEX(Pinjaman[Nama],MATCH(B207,Pinjaman[ID], 0))</f>
        <v>SETIA</v>
      </c>
      <c r="D207" s="7" t="str">
        <f>INDEX(Pinjaman[Cabang],MATCH(B207,Pinjaman[ID], 0))</f>
        <v>SAP</v>
      </c>
      <c r="E207" s="8">
        <v>45992</v>
      </c>
      <c r="F207" s="40" t="str">
        <f>TEXT(Cicilan[[#This Row],[Periode Gaji]],"yyy-mm")</f>
        <v>2025-12</v>
      </c>
      <c r="G207" s="10">
        <v>1000000</v>
      </c>
      <c r="H207" s="7" t="s">
        <v>99</v>
      </c>
      <c r="I207" s="7" t="s">
        <v>73</v>
      </c>
    </row>
    <row r="208" spans="2:9" x14ac:dyDescent="0.25">
      <c r="B208" s="7" t="s">
        <v>134</v>
      </c>
      <c r="C208" s="7" t="str">
        <f>INDEX(Pinjaman[Nama],MATCH(B208,Pinjaman[ID], 0))</f>
        <v>TRI YANTO</v>
      </c>
      <c r="D208" s="7" t="str">
        <f>INDEX(Pinjaman[Cabang],MATCH(B208,Pinjaman[ID], 0))</f>
        <v>SSL</v>
      </c>
      <c r="E208" s="8">
        <v>45992</v>
      </c>
      <c r="F208" s="40" t="str">
        <f>TEXT(Cicilan[[#This Row],[Periode Gaji]],"yyy-mm")</f>
        <v>2025-12</v>
      </c>
      <c r="G208" s="10">
        <v>1000000</v>
      </c>
      <c r="H208" s="7" t="s">
        <v>99</v>
      </c>
      <c r="I208" s="7" t="s">
        <v>73</v>
      </c>
    </row>
    <row r="209" spans="2:9" x14ac:dyDescent="0.25">
      <c r="B209" s="7" t="s">
        <v>135</v>
      </c>
      <c r="C209" s="7" t="str">
        <f>INDEX(Pinjaman[Nama],MATCH(B209,Pinjaman[ID], 0))</f>
        <v>GORDON</v>
      </c>
      <c r="D209" s="7" t="str">
        <f>INDEX(Pinjaman[Cabang],MATCH(B209,Pinjaman[ID], 0))</f>
        <v>PPA</v>
      </c>
      <c r="E209" s="8">
        <v>45992</v>
      </c>
      <c r="F209" s="40" t="str">
        <f>TEXT(Cicilan[[#This Row],[Periode Gaji]],"yyy-mm")</f>
        <v>2025-12</v>
      </c>
      <c r="G209" s="10">
        <v>2000000</v>
      </c>
      <c r="H209" s="7" t="s">
        <v>99</v>
      </c>
      <c r="I209" s="7" t="s">
        <v>73</v>
      </c>
    </row>
    <row r="210" spans="2:9" x14ac:dyDescent="0.25">
      <c r="B210" s="7" t="s">
        <v>136</v>
      </c>
      <c r="C210" s="7" t="str">
        <f>INDEX(Pinjaman[Nama],MATCH(B210,Pinjaman[ID], 0))</f>
        <v>PUTRAKU</v>
      </c>
      <c r="D210" s="7" t="str">
        <f>INDEX(Pinjaman[Cabang],MATCH(B210,Pinjaman[ID], 0))</f>
        <v>PPA</v>
      </c>
      <c r="E210" s="8">
        <v>45992</v>
      </c>
      <c r="F210" s="40" t="str">
        <f>TEXT(Cicilan[[#This Row],[Periode Gaji]],"yyy-mm")</f>
        <v>2025-12</v>
      </c>
      <c r="G210" s="10">
        <v>1000000</v>
      </c>
      <c r="H210" s="7" t="s">
        <v>99</v>
      </c>
      <c r="I210" s="7" t="s">
        <v>73</v>
      </c>
    </row>
    <row r="211" spans="2:9" x14ac:dyDescent="0.25">
      <c r="B211" s="7" t="s">
        <v>137</v>
      </c>
      <c r="C211" s="7" t="str">
        <f>INDEX(Pinjaman[Nama],MATCH(B211,Pinjaman[ID], 0))</f>
        <v>RATANA</v>
      </c>
      <c r="D211" s="7" t="str">
        <f>INDEX(Pinjaman[Cabang],MATCH(B211,Pinjaman[ID], 0))</f>
        <v>RO_SMB</v>
      </c>
      <c r="E211" s="8">
        <v>45992</v>
      </c>
      <c r="F211" s="40" t="str">
        <f>TEXT(Cicilan[[#This Row],[Periode Gaji]],"yyy-mm")</f>
        <v>2025-12</v>
      </c>
      <c r="G211" s="10">
        <v>500000</v>
      </c>
      <c r="H211" s="7" t="s">
        <v>99</v>
      </c>
      <c r="I211" s="7" t="s">
        <v>73</v>
      </c>
    </row>
    <row r="212" spans="2:9" x14ac:dyDescent="0.25">
      <c r="B212" s="7" t="s">
        <v>138</v>
      </c>
      <c r="C212" s="7" t="str">
        <f>INDEX(Pinjaman[Nama],MATCH(B212,Pinjaman[ID], 0))</f>
        <v>YANTONO</v>
      </c>
      <c r="D212" s="7" t="str">
        <f>INDEX(Pinjaman[Cabang],MATCH(B212,Pinjaman[ID], 0))</f>
        <v>Payroll_SMB</v>
      </c>
      <c r="E212" s="8">
        <v>45992</v>
      </c>
      <c r="F212" s="40" t="str">
        <f>TEXT(Cicilan[[#This Row],[Periode Gaji]],"yyy-mm")</f>
        <v>2025-12</v>
      </c>
      <c r="G212" s="10">
        <v>750000</v>
      </c>
      <c r="H212" s="7" t="s">
        <v>99</v>
      </c>
      <c r="I212" s="7" t="s">
        <v>73</v>
      </c>
    </row>
    <row r="213" spans="2:9" x14ac:dyDescent="0.25">
      <c r="B213" s="7" t="s">
        <v>140</v>
      </c>
      <c r="C213" s="7" t="str">
        <f>INDEX(Pinjaman[Nama],MATCH(B213,Pinjaman[ID], 0))</f>
        <v xml:space="preserve">NATAN </v>
      </c>
      <c r="D213" s="7" t="str">
        <f>INDEX(Pinjaman[Cabang],MATCH(B213,Pinjaman[ID], 0))</f>
        <v>Payroll_SMB</v>
      </c>
      <c r="E213" s="8">
        <v>45992</v>
      </c>
      <c r="F213" s="40" t="str">
        <f>TEXT(Cicilan[[#This Row],[Periode Gaji]],"yyy-mm")</f>
        <v>2025-12</v>
      </c>
      <c r="G213" s="10">
        <v>500000</v>
      </c>
      <c r="H213" s="7" t="s">
        <v>99</v>
      </c>
      <c r="I213" s="7" t="s">
        <v>73</v>
      </c>
    </row>
    <row r="214" spans="2:9" x14ac:dyDescent="0.25">
      <c r="B214" s="7" t="s">
        <v>142</v>
      </c>
      <c r="C214" s="7" t="str">
        <f>INDEX(Pinjaman[Nama],MATCH(B214,Pinjaman[ID], 0))</f>
        <v>SUKIMAN</v>
      </c>
      <c r="D214" s="7" t="str">
        <f>INDEX(Pinjaman[Cabang],MATCH(B214,Pinjaman[ID], 0))</f>
        <v>SSL</v>
      </c>
      <c r="E214" s="8">
        <v>45992</v>
      </c>
      <c r="F214" s="40" t="str">
        <f>TEXT(Cicilan[[#This Row],[Periode Gaji]],"yyy-mm")</f>
        <v>2025-12</v>
      </c>
      <c r="G214" s="10">
        <v>1000000</v>
      </c>
      <c r="H214" s="7" t="s">
        <v>99</v>
      </c>
      <c r="I214" s="7" t="s">
        <v>73</v>
      </c>
    </row>
    <row r="215" spans="2:9" x14ac:dyDescent="0.25">
      <c r="B215" s="7"/>
      <c r="C215" s="7"/>
      <c r="D215" s="7"/>
      <c r="E215" s="8"/>
      <c r="F215" s="40"/>
      <c r="G215" s="10">
        <f>SUBTOTAL(109,G4:G214)</f>
        <v>216796630</v>
      </c>
      <c r="H215" s="7"/>
      <c r="I215" s="7"/>
    </row>
  </sheetData>
  <phoneticPr fontId="2" type="noConversion"/>
  <conditionalFormatting sqref="I4:I214">
    <cfRule type="containsText" dxfId="781" priority="1" operator="containsText" text="Pending">
      <formula>NOT(ISERROR(SEARCH("Pending",I4)))</formula>
    </cfRule>
    <cfRule type="containsText" dxfId="780" priority="2" operator="containsText" text="Clear">
      <formula>NOT(ISERROR(SEARCH("Clear",I4)))</formula>
    </cfRule>
  </conditionalFormatting>
  <dataValidations count="2">
    <dataValidation type="list" allowBlank="1" sqref="H4:H214" xr:uid="{BB9999E1-899E-4811-9FA5-5024ABCA92BE}">
      <formula1>Via</formula1>
    </dataValidation>
    <dataValidation type="list" allowBlank="1" showInputMessage="1" showErrorMessage="1" sqref="I4:I214" xr:uid="{48E9C47B-2836-40D5-9B25-BE8EB3FC4CE5}">
      <formula1>"Clear, Pending"</formula1>
    </dataValidation>
  </dataValidation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FF83C37-EBAC-4087-B290-2EDCA113BDF9}">
  <ds:schemaRefs/>
</ds:datastoreItem>
</file>

<file path=customXml/itemProps2.xml><?xml version="1.0" encoding="utf-8"?>
<ds:datastoreItem xmlns:ds="http://schemas.openxmlformats.org/officeDocument/2006/customXml" ds:itemID="{409A11BD-A040-49F0-BEE9-CA0A8C61E4CE}">
  <ds:schemaRefs/>
</ds:datastoreItem>
</file>

<file path=customXml/itemProps3.xml><?xml version="1.0" encoding="utf-8"?>
<ds:datastoreItem xmlns:ds="http://schemas.openxmlformats.org/officeDocument/2006/customXml" ds:itemID="{798A8DF2-EC53-4205-B584-09FC4D10FB7C}">
  <ds:schemaRefs/>
</ds:datastoreItem>
</file>

<file path=customXml/itemProps4.xml><?xml version="1.0" encoding="utf-8"?>
<ds:datastoreItem xmlns:ds="http://schemas.openxmlformats.org/officeDocument/2006/customXml" ds:itemID="{F22EFC05-0CD9-44C8-9F5C-633E5E00A869}">
  <ds:schemaRefs/>
</ds:datastoreItem>
</file>

<file path=customXml/itemProps5.xml><?xml version="1.0" encoding="utf-8"?>
<ds:datastoreItem xmlns:ds="http://schemas.openxmlformats.org/officeDocument/2006/customXml" ds:itemID="{95015A19-1A5F-4C04-9D8D-83BECC665155}">
  <ds:schemaRefs/>
</ds:datastoreItem>
</file>

<file path=customXml/itemProps6.xml><?xml version="1.0" encoding="utf-8"?>
<ds:datastoreItem xmlns:ds="http://schemas.openxmlformats.org/officeDocument/2006/customXml" ds:itemID="{2633481C-36CB-4B6D-B72C-A25791729395}">
  <ds:schemaRefs/>
</ds:datastoreItem>
</file>

<file path=customXml/itemProps7.xml><?xml version="1.0" encoding="utf-8"?>
<ds:datastoreItem xmlns:ds="http://schemas.openxmlformats.org/officeDocument/2006/customXml" ds:itemID="{CB3D839E-C04B-482B-832E-226100577B70}">
  <ds:schemaRefs/>
</ds:datastoreItem>
</file>

<file path=customXml/itemProps8.xml><?xml version="1.0" encoding="utf-8"?>
<ds:datastoreItem xmlns:ds="http://schemas.openxmlformats.org/officeDocument/2006/customXml" ds:itemID="{57262889-5B17-468E-B81D-B2FC56AD3FD2}">
  <ds:schemaRefs/>
</ds:datastoreItem>
</file>

<file path=customXml/itemProps9.xml><?xml version="1.0" encoding="utf-8"?>
<ds:datastoreItem xmlns:ds="http://schemas.openxmlformats.org/officeDocument/2006/customXml" ds:itemID="{03928E52-D441-4DC4-B11F-A60F14482D4B}">
  <ds:schemaRefs/>
</ds:datastoreItem>
</file>

<file path=customXml/itemProps10.xml><?xml version="1.0" encoding="utf-8"?>
<ds:datastoreItem xmlns:ds="http://schemas.openxmlformats.org/officeDocument/2006/customXml" ds:itemID="{47F1BB6E-3FF6-40B1-AE93-C4EE549E378E}">
  <ds:schemaRefs/>
</ds:datastoreItem>
</file>

<file path=customXml/itemProps11.xml><?xml version="1.0" encoding="utf-8"?>
<ds:datastoreItem xmlns:ds="http://schemas.openxmlformats.org/officeDocument/2006/customXml" ds:itemID="{37E9DCDF-675C-436C-A5C8-DCCA68FC279C}">
  <ds:schemaRefs/>
</ds:datastoreItem>
</file>

<file path=customXml/itemProps12.xml><?xml version="1.0" encoding="utf-8"?>
<ds:datastoreItem xmlns:ds="http://schemas.openxmlformats.org/officeDocument/2006/customXml" ds:itemID="{EB7CE990-65B3-4948-806C-D6A3D076F47E}">
  <ds:schemaRefs/>
</ds:datastoreItem>
</file>

<file path=customXml/itemProps13.xml><?xml version="1.0" encoding="utf-8"?>
<ds:datastoreItem xmlns:ds="http://schemas.openxmlformats.org/officeDocument/2006/customXml" ds:itemID="{6619A2D7-C5C7-48EB-AAEE-0D59DF2C9027}">
  <ds:schemaRefs/>
</ds:datastoreItem>
</file>

<file path=customXml/itemProps14.xml><?xml version="1.0" encoding="utf-8"?>
<ds:datastoreItem xmlns:ds="http://schemas.openxmlformats.org/officeDocument/2006/customXml" ds:itemID="{72C1E59D-9396-42E5-886F-687E293D0F90}">
  <ds:schemaRefs/>
</ds:datastoreItem>
</file>

<file path=customXml/itemProps15.xml><?xml version="1.0" encoding="utf-8"?>
<ds:datastoreItem xmlns:ds="http://schemas.openxmlformats.org/officeDocument/2006/customXml" ds:itemID="{D52C2352-9266-4977-85CD-F81069B4A66B}">
  <ds:schemaRefs>
    <ds:schemaRef ds:uri="http://schemas.microsoft.com/DataMashup"/>
  </ds:schemaRefs>
</ds:datastoreItem>
</file>

<file path=customXml/itemProps16.xml><?xml version="1.0" encoding="utf-8"?>
<ds:datastoreItem xmlns:ds="http://schemas.openxmlformats.org/officeDocument/2006/customXml" ds:itemID="{6219D371-B7C0-4A8B-9937-1BC7D01E7794}">
  <ds:schemaRefs/>
</ds:datastoreItem>
</file>

<file path=customXml/itemProps17.xml><?xml version="1.0" encoding="utf-8"?>
<ds:datastoreItem xmlns:ds="http://schemas.openxmlformats.org/officeDocument/2006/customXml" ds:itemID="{D4E91FE2-27A8-490C-9378-40FBDB2D2777}">
  <ds:schemaRefs/>
</ds:datastoreItem>
</file>

<file path=customXml/itemProps18.xml><?xml version="1.0" encoding="utf-8"?>
<ds:datastoreItem xmlns:ds="http://schemas.openxmlformats.org/officeDocument/2006/customXml" ds:itemID="{EFA60640-7F2E-4401-9B64-6A50ABBF80F3}">
  <ds:schemaRefs/>
</ds:datastoreItem>
</file>

<file path=customXml/itemProps19.xml><?xml version="1.0" encoding="utf-8"?>
<ds:datastoreItem xmlns:ds="http://schemas.openxmlformats.org/officeDocument/2006/customXml" ds:itemID="{BF3F004D-AAF3-436C-81D7-6C574A09C4DE}">
  <ds:schemaRefs/>
</ds:datastoreItem>
</file>

<file path=customXml/itemProps20.xml><?xml version="1.0" encoding="utf-8"?>
<ds:datastoreItem xmlns:ds="http://schemas.openxmlformats.org/officeDocument/2006/customXml" ds:itemID="{B2096D62-619F-4551-8A93-F5DD57E55A81}">
  <ds:schemaRefs/>
</ds:datastoreItem>
</file>

<file path=customXml/itemProps21.xml><?xml version="1.0" encoding="utf-8"?>
<ds:datastoreItem xmlns:ds="http://schemas.openxmlformats.org/officeDocument/2006/customXml" ds:itemID="{CB468D38-C6F5-4384-9224-09E1527030F4}">
  <ds:schemaRefs/>
</ds:datastoreItem>
</file>

<file path=customXml/itemProps22.xml><?xml version="1.0" encoding="utf-8"?>
<ds:datastoreItem xmlns:ds="http://schemas.openxmlformats.org/officeDocument/2006/customXml" ds:itemID="{7C76B52B-2F37-48D5-986E-3DF832495A41}">
  <ds:schemaRefs/>
</ds:datastoreItem>
</file>

<file path=customXml/itemProps23.xml><?xml version="1.0" encoding="utf-8"?>
<ds:datastoreItem xmlns:ds="http://schemas.openxmlformats.org/officeDocument/2006/customXml" ds:itemID="{CB41E222-4A55-40EB-8B76-40BC1F33B1AA}">
  <ds:schemaRefs/>
</ds:datastoreItem>
</file>

<file path=customXml/itemProps24.xml><?xml version="1.0" encoding="utf-8"?>
<ds:datastoreItem xmlns:ds="http://schemas.openxmlformats.org/officeDocument/2006/customXml" ds:itemID="{290DBC1B-6016-443E-AAA4-F99B682313B9}">
  <ds:schemaRefs/>
</ds:datastoreItem>
</file>

<file path=customXml/itemProps25.xml><?xml version="1.0" encoding="utf-8"?>
<ds:datastoreItem xmlns:ds="http://schemas.openxmlformats.org/officeDocument/2006/customXml" ds:itemID="{0BBD98BA-35AF-4717-AD69-7BBC54FB362A}">
  <ds:schemaRefs/>
</ds:datastoreItem>
</file>

<file path=customXml/itemProps26.xml><?xml version="1.0" encoding="utf-8"?>
<ds:datastoreItem xmlns:ds="http://schemas.openxmlformats.org/officeDocument/2006/customXml" ds:itemID="{B5668E14-C0AE-4A7F-A4E8-7EC8BA4A0E35}">
  <ds:schemaRefs/>
</ds:datastoreItem>
</file>

<file path=customXml/itemProps27.xml><?xml version="1.0" encoding="utf-8"?>
<ds:datastoreItem xmlns:ds="http://schemas.openxmlformats.org/officeDocument/2006/customXml" ds:itemID="{EA641B9E-EB3D-4C68-9621-323D3375E359}">
  <ds:schemaRefs/>
</ds:datastoreItem>
</file>

<file path=customXml/itemProps28.xml><?xml version="1.0" encoding="utf-8"?>
<ds:datastoreItem xmlns:ds="http://schemas.openxmlformats.org/officeDocument/2006/customXml" ds:itemID="{46B7C904-5D14-48F6-AC72-2D10E9877E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Db</vt:lpstr>
      <vt:lpstr>Piv Install</vt:lpstr>
      <vt:lpstr>Input</vt:lpstr>
      <vt:lpstr>Loan</vt:lpstr>
      <vt:lpstr>Installment</vt:lpstr>
      <vt:lpstr>Via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Myoffice27282</cp:lastModifiedBy>
  <dcterms:created xsi:type="dcterms:W3CDTF">2025-08-27T06:42:36Z</dcterms:created>
  <dcterms:modified xsi:type="dcterms:W3CDTF">2025-12-18T08:26:20Z</dcterms:modified>
</cp:coreProperties>
</file>